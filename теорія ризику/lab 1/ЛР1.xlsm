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skill\OneDrive\Робочий стіл\master 1 curs 1 sem\теорія ризику\lab 1\"/>
    </mc:Choice>
  </mc:AlternateContent>
  <xr:revisionPtr revIDLastSave="0" documentId="13_ncr:1_{FDA92B94-9932-498C-B3EE-07BE1DBF0B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Завдання 1" sheetId="1" r:id="rId1"/>
    <sheet name="Завдання 2" sheetId="2" r:id="rId2"/>
    <sheet name="Завдання 3" sheetId="3" r:id="rId3"/>
    <sheet name="Завдання 4" sheetId="4" r:id="rId4"/>
    <sheet name="Завдання 5" sheetId="5" r:id="rId5"/>
    <sheet name="Завдання 6" sheetId="6" r:id="rId6"/>
    <sheet name="Завдання 7" sheetId="7" r:id="rId7"/>
    <sheet name="Завдання 8" sheetId="8" r:id="rId8"/>
    <sheet name="Завдання 9" sheetId="9" r:id="rId9"/>
    <sheet name="Завдання 10" sheetId="10" r:id="rId10"/>
    <sheet name="Завдання 11" sheetId="11" r:id="rId11"/>
    <sheet name="Завдання 12" sheetId="12" r:id="rId12"/>
  </sheets>
  <definedNames>
    <definedName name="_FilterDatabase" localSheetId="0" hidden="1">'Завдання 1'!$A$1:$E$21</definedName>
    <definedName name="_xlnm._FilterDatabase" localSheetId="0" hidden="1">'Завдання 1'!$A$1:$E$20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" i="1"/>
  <c r="B19" i="12"/>
  <c r="E17" i="12"/>
  <c r="D17" i="12"/>
  <c r="C17" i="12"/>
  <c r="B17" i="12"/>
  <c r="E16" i="12"/>
  <c r="D16" i="12"/>
  <c r="C16" i="12"/>
  <c r="B16" i="12"/>
  <c r="G15" i="12"/>
  <c r="F15" i="12"/>
  <c r="G14" i="12"/>
  <c r="F14" i="12"/>
  <c r="G13" i="12"/>
  <c r="F13" i="12"/>
  <c r="G12" i="12"/>
  <c r="F12" i="12"/>
  <c r="E8" i="12"/>
  <c r="D8" i="12"/>
  <c r="C8" i="12"/>
  <c r="B8" i="12"/>
  <c r="F7" i="12"/>
  <c r="F6" i="12"/>
  <c r="F5" i="12"/>
  <c r="F4" i="12"/>
  <c r="I14" i="11"/>
  <c r="H14" i="11"/>
  <c r="F14" i="11"/>
  <c r="E14" i="11"/>
  <c r="I13" i="11"/>
  <c r="H13" i="11"/>
  <c r="G13" i="11"/>
  <c r="F13" i="11"/>
  <c r="E13" i="11"/>
  <c r="G12" i="11"/>
  <c r="H12" i="11" s="1"/>
  <c r="I12" i="11" s="1"/>
  <c r="F12" i="11"/>
  <c r="E12" i="11"/>
  <c r="G11" i="11"/>
  <c r="H11" i="11" s="1"/>
  <c r="I11" i="11" s="1"/>
  <c r="F11" i="11"/>
  <c r="E11" i="11"/>
  <c r="G10" i="11"/>
  <c r="H10" i="11" s="1"/>
  <c r="I10" i="11" s="1"/>
  <c r="F10" i="11"/>
  <c r="E10" i="11"/>
  <c r="G9" i="11"/>
  <c r="H9" i="11" s="1"/>
  <c r="I9" i="11" s="1"/>
  <c r="F9" i="11"/>
  <c r="E9" i="11"/>
  <c r="G8" i="11"/>
  <c r="H8" i="11" s="1"/>
  <c r="I8" i="11" s="1"/>
  <c r="F8" i="11"/>
  <c r="E8" i="11"/>
  <c r="G7" i="11"/>
  <c r="H7" i="11" s="1"/>
  <c r="I7" i="11" s="1"/>
  <c r="F7" i="11"/>
  <c r="E7" i="11"/>
  <c r="J6" i="10"/>
  <c r="J5" i="10"/>
  <c r="J4" i="10"/>
  <c r="J3" i="10"/>
  <c r="J2" i="10"/>
  <c r="G9" i="9"/>
  <c r="G8" i="9"/>
  <c r="F8" i="9"/>
  <c r="E8" i="9"/>
  <c r="G7" i="9"/>
  <c r="F7" i="9"/>
  <c r="E7" i="9"/>
  <c r="G6" i="9"/>
  <c r="F6" i="9"/>
  <c r="E6" i="9"/>
  <c r="G5" i="9"/>
  <c r="F5" i="9"/>
  <c r="E5" i="9"/>
  <c r="G4" i="9"/>
  <c r="F4" i="9"/>
  <c r="E4" i="9"/>
  <c r="G3" i="9"/>
  <c r="F3" i="9"/>
  <c r="E3" i="9"/>
  <c r="G2" i="9"/>
  <c r="F2" i="9"/>
  <c r="E2" i="9"/>
  <c r="B7" i="9"/>
  <c r="B6" i="9"/>
  <c r="B5" i="9"/>
  <c r="B11" i="8"/>
  <c r="B10" i="8"/>
  <c r="B9" i="8"/>
  <c r="B8" i="8"/>
  <c r="B7" i="8"/>
  <c r="B4" i="8"/>
  <c r="B3" i="8"/>
  <c r="E3" i="7"/>
  <c r="E4" i="7"/>
  <c r="E2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E6" i="6"/>
  <c r="B6" i="6"/>
  <c r="E5" i="6"/>
  <c r="B5" i="6"/>
  <c r="E4" i="6"/>
  <c r="B4" i="6"/>
  <c r="E3" i="6"/>
  <c r="B3" i="6"/>
  <c r="E2" i="6"/>
  <c r="B2" i="6"/>
  <c r="B10" i="5"/>
  <c r="B9" i="5"/>
  <c r="B8" i="5"/>
  <c r="B7" i="5"/>
  <c r="B6" i="5"/>
  <c r="B5" i="5"/>
  <c r="B4" i="5"/>
  <c r="B3" i="5"/>
  <c r="B2" i="5"/>
  <c r="C3" i="3"/>
  <c r="C4" i="3"/>
  <c r="C5" i="3"/>
  <c r="C6" i="3"/>
  <c r="C7" i="3"/>
  <c r="C2" i="3"/>
  <c r="A6" i="3"/>
  <c r="A5" i="3"/>
  <c r="B13" i="2"/>
  <c r="B14" i="2" s="1"/>
  <c r="B8" i="2"/>
  <c r="B7" i="2"/>
  <c r="B6" i="2"/>
  <c r="E3" i="4"/>
  <c r="E4" i="4"/>
  <c r="E5" i="4"/>
  <c r="E6" i="4"/>
  <c r="E2" i="4"/>
  <c r="B3" i="3"/>
  <c r="B4" i="3"/>
  <c r="B5" i="3"/>
  <c r="B6" i="3"/>
  <c r="B7" i="3"/>
  <c r="B2" i="3"/>
  <c r="B9" i="2" l="1"/>
  <c r="B10" i="2"/>
  <c r="B23" i="2"/>
  <c r="B22" i="2"/>
  <c r="B15" i="2"/>
  <c r="B16" i="2" s="1"/>
  <c r="B17" i="2" s="1"/>
  <c r="B20" i="2" s="1"/>
  <c r="B21" i="2" l="1"/>
  <c r="A25" i="2" s="1"/>
</calcChain>
</file>

<file path=xl/sharedStrings.xml><?xml version="1.0" encoding="utf-8"?>
<sst xmlns="http://schemas.openxmlformats.org/spreadsheetml/2006/main" count="191" uniqueCount="140">
  <si>
    <t>№</t>
  </si>
  <si>
    <t>Прізвище</t>
  </si>
  <si>
    <t>Ім'я</t>
  </si>
  <si>
    <t>По батькові</t>
  </si>
  <si>
    <t>Дата народження</t>
  </si>
  <si>
    <t>Герасименко</t>
  </si>
  <si>
    <t>Вадим</t>
  </si>
  <si>
    <t>Олександрович</t>
  </si>
  <si>
    <t>Коваленко</t>
  </si>
  <si>
    <t>Олена</t>
  </si>
  <si>
    <t>Іванівна</t>
  </si>
  <si>
    <t>Шевченко</t>
  </si>
  <si>
    <t>Андрій</t>
  </si>
  <si>
    <t>Петрович</t>
  </si>
  <si>
    <t>Бондаренко</t>
  </si>
  <si>
    <t>Марія</t>
  </si>
  <si>
    <t>Мельник</t>
  </si>
  <si>
    <t>Петрівна</t>
  </si>
  <si>
    <t>Ткаченко</t>
  </si>
  <si>
    <t>Ігор</t>
  </si>
  <si>
    <t>Васильович</t>
  </si>
  <si>
    <t>Кравченко</t>
  </si>
  <si>
    <t>Іванович</t>
  </si>
  <si>
    <t>Олійник</t>
  </si>
  <si>
    <t>Софія</t>
  </si>
  <si>
    <t>Савченко</t>
  </si>
  <si>
    <t>Дмитро</t>
  </si>
  <si>
    <t>Олексійович</t>
  </si>
  <si>
    <t>Поліщук</t>
  </si>
  <si>
    <t>Василівна</t>
  </si>
  <si>
    <t>Лисенко</t>
  </si>
  <si>
    <t>Романюк</t>
  </si>
  <si>
    <t>Катерина</t>
  </si>
  <si>
    <t>Гончар</t>
  </si>
  <si>
    <t>Максим</t>
  </si>
  <si>
    <t>Павленко</t>
  </si>
  <si>
    <t>Юлія</t>
  </si>
  <si>
    <t>Сидоренко</t>
  </si>
  <si>
    <t>Олег</t>
  </si>
  <si>
    <t>Марченко</t>
  </si>
  <si>
    <t>Іваненко</t>
  </si>
  <si>
    <t>Кузьменко</t>
  </si>
  <si>
    <t>Дарина</t>
  </si>
  <si>
    <t>Бойко</t>
  </si>
  <si>
    <t>Назар</t>
  </si>
  <si>
    <t>Мороз</t>
  </si>
  <si>
    <t>Христина</t>
  </si>
  <si>
    <t>Єгорович</t>
  </si>
  <si>
    <t>Рівняння</t>
  </si>
  <si>
    <t>x</t>
  </si>
  <si>
    <t>y</t>
  </si>
  <si>
    <t>Вільний член</t>
  </si>
  <si>
    <t>Метод Крамера</t>
  </si>
  <si>
    <t>Δ</t>
  </si>
  <si>
    <t>Δx</t>
  </si>
  <si>
    <t>Δy</t>
  </si>
  <si>
    <t>Метод Гауса</t>
  </si>
  <si>
    <t>Множник</t>
  </si>
  <si>
    <t>Новий коефіцієнт при y</t>
  </si>
  <si>
    <t>Новий вільний член</t>
  </si>
  <si>
    <t>Порівняння</t>
  </si>
  <si>
    <t>Різниця x</t>
  </si>
  <si>
    <t>Різниця y</t>
  </si>
  <si>
    <t>Перевірка 1-го рівняння</t>
  </si>
  <si>
    <t>Перевірка 2-го рівняння</t>
  </si>
  <si>
    <t>sin²(x)</t>
  </si>
  <si>
    <t>Перевірка</t>
  </si>
  <si>
    <t>Параметр</t>
  </si>
  <si>
    <t>Значення</t>
  </si>
  <si>
    <t>C1</t>
  </si>
  <si>
    <t>C2</t>
  </si>
  <si>
    <t>X1</t>
  </si>
  <si>
    <t>X2</t>
  </si>
  <si>
    <t>X3</t>
  </si>
  <si>
    <t>Вартість</t>
  </si>
  <si>
    <t>Комісійні</t>
  </si>
  <si>
    <t>g(x), x≤0</t>
  </si>
  <si>
    <t>g(x), x&gt;0</t>
  </si>
  <si>
    <t>f(x)</t>
  </si>
  <si>
    <t>Корінь</t>
  </si>
  <si>
    <t>f(кореня)</t>
  </si>
  <si>
    <t>Вартість житла, грн</t>
  </si>
  <si>
    <t>Початковий внесок, %</t>
  </si>
  <si>
    <t>Сума внеску, грн</t>
  </si>
  <si>
    <t>Сума позики, грн</t>
  </si>
  <si>
    <t>Ставка, % річних</t>
  </si>
  <si>
    <t>Строк, років</t>
  </si>
  <si>
    <t>Кількість місяців</t>
  </si>
  <si>
    <t>Місячна ставка</t>
  </si>
  <si>
    <t>Щомісячна виплата, грн</t>
  </si>
  <si>
    <t>Усього виплат, грн</t>
  </si>
  <si>
    <t>Переплата, грн</t>
  </si>
  <si>
    <t>Початкова сума, грн</t>
  </si>
  <si>
    <t>Щорічна виплата, грн</t>
  </si>
  <si>
    <t>Ставка, %</t>
  </si>
  <si>
    <t>Теперішня вартість виплат, грн</t>
  </si>
  <si>
    <t>Чистий результат, грн</t>
  </si>
  <si>
    <t>Висновок</t>
  </si>
  <si>
    <t>Рік</t>
  </si>
  <si>
    <t>Виплата, грн</t>
  </si>
  <si>
    <t>Коефіцієнт</t>
  </si>
  <si>
    <t>Теперішня вартість, грн</t>
  </si>
  <si>
    <t>Сума</t>
  </si>
  <si>
    <t>Травень</t>
  </si>
  <si>
    <t>Червень</t>
  </si>
  <si>
    <t>Липень</t>
  </si>
  <si>
    <t>Серпень</t>
  </si>
  <si>
    <t>Вересень</t>
  </si>
  <si>
    <t>Жовтень</t>
  </si>
  <si>
    <t>Листопад</t>
  </si>
  <si>
    <t>Грудень</t>
  </si>
  <si>
    <t>Разом</t>
  </si>
  <si>
    <t>Магазин 1</t>
  </si>
  <si>
    <t>Магазин 2</t>
  </si>
  <si>
    <t>Магазин 3</t>
  </si>
  <si>
    <t>Магазин 4</t>
  </si>
  <si>
    <t>Магазин 5</t>
  </si>
  <si>
    <t>Поріг C, грн</t>
  </si>
  <si>
    <t>Ставка i, %</t>
  </si>
  <si>
    <t>Надбавка за 1 місце j1, %</t>
  </si>
  <si>
    <t>Надбавка за 2 місце j2, %</t>
  </si>
  <si>
    <t>Магазин</t>
  </si>
  <si>
    <t>Місце</t>
  </si>
  <si>
    <t>Надбавка</t>
  </si>
  <si>
    <t>Премія</t>
  </si>
  <si>
    <t>Магазин 6</t>
  </si>
  <si>
    <t>Магазин 7</t>
  </si>
  <si>
    <t>N</t>
  </si>
  <si>
    <t>Пункт 1.1</t>
  </si>
  <si>
    <t>Пункт 2.1</t>
  </si>
  <si>
    <t>Пункт 3.1</t>
  </si>
  <si>
    <t>Пункт 4.1</t>
  </si>
  <si>
    <t>Обсяг</t>
  </si>
  <si>
    <t>Пункт 1</t>
  </si>
  <si>
    <t>Пункт 2</t>
  </si>
  <si>
    <t>Пункт 3</t>
  </si>
  <si>
    <t>Пункт 4</t>
  </si>
  <si>
    <t>Потреба</t>
  </si>
  <si>
    <t>План перевезень</t>
  </si>
  <si>
    <t>Мінімальні витрати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</si>
</sst>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0.0000"/>
    <numFmt numFmtId="166" formatCode="0.0"/>
    <numFmt numFmtId="167" formatCode="0.0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0" fillId="0" borderId="1" xfId="0" applyBorder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0" fontId="2" fillId="3" borderId="0" xfId="2" applyAlignment="1">
      <alignment horizontal="left" vertical="center"/>
    </xf>
    <xf numFmtId="0" fontId="2" fillId="9" borderId="1" xfId="8" applyBorder="1" applyAlignment="1">
      <alignment vertical="center"/>
    </xf>
    <xf numFmtId="0" fontId="2" fillId="10" borderId="1" xfId="9" applyBorder="1" applyAlignment="1">
      <alignment vertical="center"/>
    </xf>
    <xf numFmtId="0" fontId="2" fillId="2" borderId="1" xfId="1" applyBorder="1" applyAlignment="1">
      <alignment vertical="center"/>
    </xf>
    <xf numFmtId="1" fontId="2" fillId="2" borderId="1" xfId="1" applyNumberFormat="1" applyBorder="1" applyAlignment="1">
      <alignment vertical="center"/>
    </xf>
    <xf numFmtId="2" fontId="2" fillId="2" borderId="1" xfId="1" applyNumberFormat="1" applyBorder="1" applyAlignment="1">
      <alignment vertical="center"/>
    </xf>
    <xf numFmtId="0" fontId="2" fillId="4" borderId="1" xfId="3" applyBorder="1" applyAlignment="1">
      <alignment vertical="center"/>
    </xf>
    <xf numFmtId="2" fontId="2" fillId="4" borderId="1" xfId="3" applyNumberFormat="1" applyBorder="1" applyAlignment="1">
      <alignment vertical="center"/>
    </xf>
    <xf numFmtId="0" fontId="2" fillId="7" borderId="1" xfId="6" applyBorder="1" applyAlignment="1">
      <alignment vertical="center"/>
    </xf>
    <xf numFmtId="2" fontId="2" fillId="7" borderId="1" xfId="6" applyNumberFormat="1" applyBorder="1" applyAlignment="1">
      <alignment vertical="center"/>
    </xf>
    <xf numFmtId="165" fontId="0" fillId="0" borderId="1" xfId="0" applyNumberFormat="1" applyBorder="1"/>
    <xf numFmtId="0" fontId="2" fillId="2" borderId="1" xfId="1" applyBorder="1"/>
    <xf numFmtId="0" fontId="2" fillId="3" borderId="1" xfId="2" applyBorder="1"/>
    <xf numFmtId="165" fontId="2" fillId="2" borderId="1" xfId="1" applyNumberFormat="1" applyBorder="1"/>
    <xf numFmtId="2" fontId="0" fillId="0" borderId="1" xfId="0" applyNumberFormat="1" applyBorder="1"/>
    <xf numFmtId="0" fontId="2" fillId="10" borderId="1" xfId="9" applyBorder="1"/>
    <xf numFmtId="166" fontId="2" fillId="2" borderId="1" xfId="1" applyNumberFormat="1" applyBorder="1"/>
    <xf numFmtId="0" fontId="2" fillId="4" borderId="1" xfId="3" applyBorder="1"/>
    <xf numFmtId="165" fontId="2" fillId="4" borderId="1" xfId="3" applyNumberFormat="1" applyBorder="1"/>
    <xf numFmtId="0" fontId="2" fillId="5" borderId="1" xfId="4" applyBorder="1"/>
    <xf numFmtId="166" fontId="2" fillId="4" borderId="1" xfId="3" applyNumberFormat="1" applyBorder="1"/>
    <xf numFmtId="2" fontId="2" fillId="4" borderId="1" xfId="3" applyNumberFormat="1" applyBorder="1"/>
    <xf numFmtId="4" fontId="2" fillId="2" borderId="1" xfId="1" applyNumberFormat="1" applyBorder="1"/>
    <xf numFmtId="1" fontId="2" fillId="2" borderId="1" xfId="1" applyNumberFormat="1" applyBorder="1"/>
    <xf numFmtId="167" fontId="2" fillId="2" borderId="1" xfId="1" applyNumberFormat="1" applyBorder="1"/>
    <xf numFmtId="4" fontId="2" fillId="4" borderId="1" xfId="3" applyNumberFormat="1" applyBorder="1"/>
    <xf numFmtId="0" fontId="2" fillId="9" borderId="1" xfId="8" applyBorder="1"/>
    <xf numFmtId="4" fontId="2" fillId="9" borderId="1" xfId="8" applyNumberFormat="1" applyBorder="1"/>
    <xf numFmtId="0" fontId="1" fillId="13" borderId="1" xfId="12" applyBorder="1"/>
    <xf numFmtId="3" fontId="2" fillId="2" borderId="1" xfId="1" applyNumberFormat="1" applyBorder="1"/>
    <xf numFmtId="3" fontId="2" fillId="9" borderId="1" xfId="8" applyNumberFormat="1" applyBorder="1"/>
    <xf numFmtId="0" fontId="2" fillId="6" borderId="3" xfId="5" applyBorder="1"/>
    <xf numFmtId="0" fontId="2" fillId="6" borderId="4" xfId="5" applyBorder="1"/>
    <xf numFmtId="0" fontId="1" fillId="11" borderId="1" xfId="10" applyBorder="1"/>
    <xf numFmtId="0" fontId="1" fillId="12" borderId="1" xfId="11" applyBorder="1"/>
    <xf numFmtId="0" fontId="2" fillId="5" borderId="5" xfId="4" applyBorder="1"/>
    <xf numFmtId="1" fontId="2" fillId="9" borderId="1" xfId="8" applyNumberFormat="1" applyBorder="1"/>
    <xf numFmtId="0" fontId="2" fillId="6" borderId="1" xfId="5" applyBorder="1" applyAlignment="1">
      <alignment horizontal="center" vertical="center"/>
    </xf>
    <xf numFmtId="0" fontId="2" fillId="8" borderId="2" xfId="7" applyBorder="1" applyAlignment="1">
      <alignment horizontal="center" vertical="center"/>
    </xf>
    <xf numFmtId="0" fontId="2" fillId="5" borderId="2" xfId="4" applyBorder="1" applyAlignment="1">
      <alignment horizontal="center" vertical="center"/>
    </xf>
    <xf numFmtId="0" fontId="2" fillId="3" borderId="2" xfId="2" applyBorder="1" applyAlignment="1">
      <alignment horizontal="center" vertical="center"/>
    </xf>
  </cellXfs>
  <cellStyles count="13">
    <cellStyle name="20% – колірна тема 1" xfId="1" builtinId="30"/>
    <cellStyle name="20% – колірна тема 2" xfId="3" builtinId="34"/>
    <cellStyle name="20% – колірна тема 3" xfId="5" builtinId="38"/>
    <cellStyle name="20% – колірна тема 4" xfId="6" builtinId="42"/>
    <cellStyle name="20% – колірна тема 6" xfId="8" builtinId="50"/>
    <cellStyle name="40% – колірна тема 1" xfId="2" builtinId="31"/>
    <cellStyle name="40% – колірна тема 2" xfId="4" builtinId="35"/>
    <cellStyle name="40% – колірна тема 4" xfId="7" builtinId="43"/>
    <cellStyle name="40% – колірна тема 6" xfId="9" builtinId="51"/>
    <cellStyle name="60% – колірна тема 1" xfId="10" builtinId="32"/>
    <cellStyle name="60% – колірна тема 2" xfId="11" builtinId="36"/>
    <cellStyle name="60% – колірна тема 6" xfId="12" builtinId="52"/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 = sin(x)*e^(-2x)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'Завдання 5'!$A$2:$A$10</c:f>
              <c:numCache>
                <c:formatCode>0.0</c:formatCode>
                <c:ptCount val="9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  <c:pt idx="5">
                  <c:v>0.5</c:v>
                </c:pt>
                <c:pt idx="6">
                  <c:v>1</c:v>
                </c:pt>
                <c:pt idx="7">
                  <c:v>1.5</c:v>
                </c:pt>
                <c:pt idx="8">
                  <c:v>2</c:v>
                </c:pt>
              </c:numCache>
            </c:numRef>
          </c:xVal>
          <c:yVal>
            <c:numRef>
              <c:f>'Завдання 5'!$B$2:$B$10</c:f>
              <c:numCache>
                <c:formatCode>0.0000</c:formatCode>
                <c:ptCount val="9"/>
                <c:pt idx="0">
                  <c:v>-49.645957334580565</c:v>
                </c:pt>
                <c:pt idx="1">
                  <c:v>-20.035222384130325</c:v>
                </c:pt>
                <c:pt idx="2">
                  <c:v>-6.2176763123679679</c:v>
                </c:pt>
                <c:pt idx="3">
                  <c:v>-1.3032137296869954</c:v>
                </c:pt>
                <c:pt idx="4">
                  <c:v>0</c:v>
                </c:pt>
                <c:pt idx="5">
                  <c:v>0.17637079922503196</c:v>
                </c:pt>
                <c:pt idx="6">
                  <c:v>0.1138807140643681</c:v>
                </c:pt>
                <c:pt idx="7">
                  <c:v>4.9662351094657588E-2</c:v>
                </c:pt>
                <c:pt idx="8">
                  <c:v>1.6654363312194376E-2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E-4AF1-B981-C2E884BA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22399"/>
        <c:axId val="67321151"/>
      </c:scatterChart>
      <c:valAx>
        <c:axId val="67322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7321151"/>
        <c:crosses val="autoZero"/>
        <c:crossBetween val="midCat"/>
      </c:valAx>
      <c:valAx>
        <c:axId val="6732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67322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g(x), x </a:t>
            </a:r>
            <a:r>
              <a:rPr lang="uk-UA"/>
              <a:t>від -2 до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x≤0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'Завдання 6'!$A$2:$A$6</c:f>
              <c:numCache>
                <c:formatCode>0.0</c:formatCode>
                <c:ptCount val="5"/>
                <c:pt idx="0">
                  <c:v>-2</c:v>
                </c:pt>
                <c:pt idx="1">
                  <c:v>-1.5</c:v>
                </c:pt>
                <c:pt idx="2">
                  <c:v>-1</c:v>
                </c:pt>
                <c:pt idx="3">
                  <c:v>-0.5</c:v>
                </c:pt>
                <c:pt idx="4">
                  <c:v>0</c:v>
                </c:pt>
              </c:numCache>
            </c:numRef>
          </c:xVal>
          <c:yVal>
            <c:numRef>
              <c:f>'Завдання 6'!$B$2:$B$6</c:f>
              <c:numCache>
                <c:formatCode>0.0000</c:formatCode>
                <c:ptCount val="5"/>
                <c:pt idx="0">
                  <c:v>0.29411764705882354</c:v>
                </c:pt>
                <c:pt idx="1">
                  <c:v>0.53608247422680411</c:v>
                </c:pt>
                <c:pt idx="2">
                  <c:v>1</c:v>
                </c:pt>
                <c:pt idx="3">
                  <c:v>1.1764705882352942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DD-4A1D-BBA4-23AE38F86026}"/>
            </c:ext>
          </c:extLst>
        </c:ser>
        <c:ser>
          <c:idx val="1"/>
          <c:order val="1"/>
          <c:tx>
            <c:v>x&gt;0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'Завдання 6'!$D$2:$D$6</c:f>
              <c:numCache>
                <c:formatCode>0.0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'Завдання 6'!$E$2:$E$6</c:f>
              <c:numCache>
                <c:formatCode>0.0000</c:formatCode>
                <c:ptCount val="5"/>
                <c:pt idx="0">
                  <c:v>0</c:v>
                </c:pt>
                <c:pt idx="1">
                  <c:v>1.091939538826372</c:v>
                </c:pt>
                <c:pt idx="2">
                  <c:v>2.2360244727578569</c:v>
                </c:pt>
                <c:pt idx="3">
                  <c:v>3.2842846423714924</c:v>
                </c:pt>
                <c:pt idx="4">
                  <c:v>4.2067054526079515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DD-4A1D-BBA4-23AE38F86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27871"/>
        <c:axId val="507338687"/>
      </c:scatterChart>
      <c:valAx>
        <c:axId val="507327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07338687"/>
        <c:crosses val="autoZero"/>
        <c:crossBetween val="midCat"/>
      </c:valAx>
      <c:valAx>
        <c:axId val="50733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07327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f(x) = x^3 + 1,41x^2 - 5,4724x - 7,380384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f(x)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'Завдання 7'!$A$2:$A$14</c:f>
              <c:numCache>
                <c:formatCode>0.0</c:formatCode>
                <c:ptCount val="13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</c:numCache>
            </c:numRef>
          </c:xVal>
          <c:yVal>
            <c:numRef>
              <c:f>'Завдання 7'!$B$2:$B$14</c:f>
              <c:numCache>
                <c:formatCode>0.0000</c:formatCode>
                <c:ptCount val="13"/>
                <c:pt idx="0">
                  <c:v>-5.2731839999999996</c:v>
                </c:pt>
                <c:pt idx="1">
                  <c:v>-0.51188399999999934</c:v>
                </c:pt>
                <c:pt idx="2">
                  <c:v>1.204416000000001</c:v>
                </c:pt>
                <c:pt idx="3">
                  <c:v>0.62571599999999972</c:v>
                </c:pt>
                <c:pt idx="4">
                  <c:v>-1.4979839999999998</c:v>
                </c:pt>
                <c:pt idx="5">
                  <c:v>-4.4166840000000001</c:v>
                </c:pt>
                <c:pt idx="6">
                  <c:v>-7.3803840000000003</c:v>
                </c:pt>
                <c:pt idx="7">
                  <c:v>-9.6390840000000004</c:v>
                </c:pt>
                <c:pt idx="8">
                  <c:v>-10.442784</c:v>
                </c:pt>
                <c:pt idx="9">
                  <c:v>-9.0414840000000005</c:v>
                </c:pt>
                <c:pt idx="10">
                  <c:v>-4.6851840000000005</c:v>
                </c:pt>
                <c:pt idx="11">
                  <c:v>3.3761159999999988</c:v>
                </c:pt>
                <c:pt idx="12">
                  <c:v>15.892415999999997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B-4556-BB16-3647FF94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12895"/>
        <c:axId val="544013727"/>
      </c:scatterChart>
      <c:scatterChart>
        <c:scatterStyle val="lineMarker"/>
        <c:varyColors val="0"/>
        <c:ser>
          <c:idx val="1"/>
          <c:order val="1"/>
          <c:tx>
            <c:v>корені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'Завдання 7'!$D$2:$D$4</c:f>
              <c:numCache>
                <c:formatCode>0.00</c:formatCode>
                <c:ptCount val="3"/>
                <c:pt idx="0">
                  <c:v>-2.41</c:v>
                </c:pt>
                <c:pt idx="1">
                  <c:v>-1.32</c:v>
                </c:pt>
                <c:pt idx="2">
                  <c:v>2.3199999999999998</c:v>
                </c:pt>
              </c:numCache>
            </c:numRef>
          </c:xVal>
          <c:yVal>
            <c:numRef>
              <c:f>'Завдання 7'!$E$2:$E$4</c:f>
              <c:numCache>
                <c:formatCode>0.0000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0B-4556-BB16-3647FF94C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012895"/>
        <c:axId val="544013727"/>
      </c:scatterChart>
      <c:valAx>
        <c:axId val="544012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44013727"/>
        <c:crosses val="autoZero"/>
        <c:crossBetween val="midCat"/>
      </c:valAx>
      <c:valAx>
        <c:axId val="54401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5440128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Продажі магазинів, тис. грн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'Завдання 10'!$A$2</c:f>
              <c:strCache>
                <c:ptCount val="1"/>
                <c:pt idx="0">
                  <c:v>Магазин 1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'Завдання 10'!$B$1:$I$1</c:f>
              <c:strCache>
                <c:ptCount val="8"/>
                <c:pt idx="0">
                  <c:v>Травень</c:v>
                </c:pt>
                <c:pt idx="1">
                  <c:v>Червень</c:v>
                </c:pt>
                <c:pt idx="2">
                  <c:v>Липень</c:v>
                </c:pt>
                <c:pt idx="3">
                  <c:v>Серпень</c:v>
                </c:pt>
                <c:pt idx="4">
                  <c:v>Вересень</c:v>
                </c:pt>
                <c:pt idx="5">
                  <c:v>Жовтень</c:v>
                </c:pt>
                <c:pt idx="6">
                  <c:v>Листопад</c:v>
                </c:pt>
                <c:pt idx="7">
                  <c:v>Грудень</c:v>
                </c:pt>
              </c:strCache>
            </c:strRef>
          </c:cat>
          <c:val>
            <c:numRef>
              <c:f>'Завдання 10'!$B$2:$I$2</c:f>
              <c:numCache>
                <c:formatCode>General</c:formatCode>
                <c:ptCount val="8"/>
                <c:pt idx="0">
                  <c:v>120</c:v>
                </c:pt>
                <c:pt idx="1">
                  <c:v>135</c:v>
                </c:pt>
                <c:pt idx="2">
                  <c:v>128</c:v>
                </c:pt>
                <c:pt idx="3">
                  <c:v>142</c:v>
                </c:pt>
                <c:pt idx="4">
                  <c:v>150</c:v>
                </c:pt>
                <c:pt idx="5">
                  <c:v>160</c:v>
                </c:pt>
                <c:pt idx="6">
                  <c:v>155</c:v>
                </c:pt>
                <c:pt idx="7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68-4C8A-9BA5-230214B25374}"/>
            </c:ext>
          </c:extLst>
        </c:ser>
        <c:ser>
          <c:idx val="1"/>
          <c:order val="1"/>
          <c:tx>
            <c:strRef>
              <c:f>'Завдання 10'!$A$3</c:f>
              <c:strCache>
                <c:ptCount val="1"/>
                <c:pt idx="0">
                  <c:v>Магазин 2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'Завдання 10'!$B$1:$I$1</c:f>
              <c:strCache>
                <c:ptCount val="8"/>
                <c:pt idx="0">
                  <c:v>Травень</c:v>
                </c:pt>
                <c:pt idx="1">
                  <c:v>Червень</c:v>
                </c:pt>
                <c:pt idx="2">
                  <c:v>Липень</c:v>
                </c:pt>
                <c:pt idx="3">
                  <c:v>Серпень</c:v>
                </c:pt>
                <c:pt idx="4">
                  <c:v>Вересень</c:v>
                </c:pt>
                <c:pt idx="5">
                  <c:v>Жовтень</c:v>
                </c:pt>
                <c:pt idx="6">
                  <c:v>Листопад</c:v>
                </c:pt>
                <c:pt idx="7">
                  <c:v>Грудень</c:v>
                </c:pt>
              </c:strCache>
            </c:strRef>
          </c:cat>
          <c:val>
            <c:numRef>
              <c:f>'Завдання 10'!$B$3:$I$3</c:f>
              <c:numCache>
                <c:formatCode>General</c:formatCode>
                <c:ptCount val="8"/>
                <c:pt idx="0">
                  <c:v>90</c:v>
                </c:pt>
                <c:pt idx="1">
                  <c:v>95</c:v>
                </c:pt>
                <c:pt idx="2">
                  <c:v>110</c:v>
                </c:pt>
                <c:pt idx="3">
                  <c:v>100</c:v>
                </c:pt>
                <c:pt idx="4">
                  <c:v>105</c:v>
                </c:pt>
                <c:pt idx="5">
                  <c:v>115</c:v>
                </c:pt>
                <c:pt idx="6">
                  <c:v>130</c:v>
                </c:pt>
                <c:pt idx="7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68-4C8A-9BA5-230214B25374}"/>
            </c:ext>
          </c:extLst>
        </c:ser>
        <c:ser>
          <c:idx val="2"/>
          <c:order val="2"/>
          <c:tx>
            <c:strRef>
              <c:f>'Завдання 10'!$A$4</c:f>
              <c:strCache>
                <c:ptCount val="1"/>
                <c:pt idx="0">
                  <c:v>Магазин 3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'Завдання 10'!$B$1:$I$1</c:f>
              <c:strCache>
                <c:ptCount val="8"/>
                <c:pt idx="0">
                  <c:v>Травень</c:v>
                </c:pt>
                <c:pt idx="1">
                  <c:v>Червень</c:v>
                </c:pt>
                <c:pt idx="2">
                  <c:v>Липень</c:v>
                </c:pt>
                <c:pt idx="3">
                  <c:v>Серпень</c:v>
                </c:pt>
                <c:pt idx="4">
                  <c:v>Вересень</c:v>
                </c:pt>
                <c:pt idx="5">
                  <c:v>Жовтень</c:v>
                </c:pt>
                <c:pt idx="6">
                  <c:v>Листопад</c:v>
                </c:pt>
                <c:pt idx="7">
                  <c:v>Грудень</c:v>
                </c:pt>
              </c:strCache>
            </c:strRef>
          </c:cat>
          <c:val>
            <c:numRef>
              <c:f>'Завдання 10'!$B$4:$I$4</c:f>
              <c:numCache>
                <c:formatCode>General</c:formatCode>
                <c:ptCount val="8"/>
                <c:pt idx="0">
                  <c:v>150</c:v>
                </c:pt>
                <c:pt idx="1">
                  <c:v>148</c:v>
                </c:pt>
                <c:pt idx="2">
                  <c:v>160</c:v>
                </c:pt>
                <c:pt idx="3">
                  <c:v>170</c:v>
                </c:pt>
                <c:pt idx="4">
                  <c:v>165</c:v>
                </c:pt>
                <c:pt idx="5">
                  <c:v>180</c:v>
                </c:pt>
                <c:pt idx="6">
                  <c:v>190</c:v>
                </c:pt>
                <c:pt idx="7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68-4C8A-9BA5-230214B25374}"/>
            </c:ext>
          </c:extLst>
        </c:ser>
        <c:ser>
          <c:idx val="3"/>
          <c:order val="3"/>
          <c:tx>
            <c:strRef>
              <c:f>'Завдання 10'!$A$5</c:f>
              <c:strCache>
                <c:ptCount val="1"/>
                <c:pt idx="0">
                  <c:v>Магазин 4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'Завдання 10'!$B$1:$I$1</c:f>
              <c:strCache>
                <c:ptCount val="8"/>
                <c:pt idx="0">
                  <c:v>Травень</c:v>
                </c:pt>
                <c:pt idx="1">
                  <c:v>Червень</c:v>
                </c:pt>
                <c:pt idx="2">
                  <c:v>Липень</c:v>
                </c:pt>
                <c:pt idx="3">
                  <c:v>Серпень</c:v>
                </c:pt>
                <c:pt idx="4">
                  <c:v>Вересень</c:v>
                </c:pt>
                <c:pt idx="5">
                  <c:v>Жовтень</c:v>
                </c:pt>
                <c:pt idx="6">
                  <c:v>Листопад</c:v>
                </c:pt>
                <c:pt idx="7">
                  <c:v>Грудень</c:v>
                </c:pt>
              </c:strCache>
            </c:strRef>
          </c:cat>
          <c:val>
            <c:numRef>
              <c:f>'Завдання 10'!$B$5:$I$5</c:f>
              <c:numCache>
                <c:formatCode>General</c:formatCode>
                <c:ptCount val="8"/>
                <c:pt idx="0">
                  <c:v>80</c:v>
                </c:pt>
                <c:pt idx="1">
                  <c:v>85</c:v>
                </c:pt>
                <c:pt idx="2">
                  <c:v>88</c:v>
                </c:pt>
                <c:pt idx="3">
                  <c:v>92</c:v>
                </c:pt>
                <c:pt idx="4">
                  <c:v>100</c:v>
                </c:pt>
                <c:pt idx="5">
                  <c:v>98</c:v>
                </c:pt>
                <c:pt idx="6">
                  <c:v>110</c:v>
                </c:pt>
                <c:pt idx="7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68-4C8A-9BA5-230214B25374}"/>
            </c:ext>
          </c:extLst>
        </c:ser>
        <c:ser>
          <c:idx val="4"/>
          <c:order val="4"/>
          <c:tx>
            <c:strRef>
              <c:f>'Завдання 10'!$A$6</c:f>
              <c:strCache>
                <c:ptCount val="1"/>
                <c:pt idx="0">
                  <c:v>Магазин 5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'Завдання 10'!$B$1:$I$1</c:f>
              <c:strCache>
                <c:ptCount val="8"/>
                <c:pt idx="0">
                  <c:v>Травень</c:v>
                </c:pt>
                <c:pt idx="1">
                  <c:v>Червень</c:v>
                </c:pt>
                <c:pt idx="2">
                  <c:v>Липень</c:v>
                </c:pt>
                <c:pt idx="3">
                  <c:v>Серпень</c:v>
                </c:pt>
                <c:pt idx="4">
                  <c:v>Вересень</c:v>
                </c:pt>
                <c:pt idx="5">
                  <c:v>Жовтень</c:v>
                </c:pt>
                <c:pt idx="6">
                  <c:v>Листопад</c:v>
                </c:pt>
                <c:pt idx="7">
                  <c:v>Грудень</c:v>
                </c:pt>
              </c:strCache>
            </c:strRef>
          </c:cat>
          <c:val>
            <c:numRef>
              <c:f>'Завдання 10'!$B$6:$I$6</c:f>
              <c:numCache>
                <c:formatCode>General</c:formatCode>
                <c:ptCount val="8"/>
                <c:pt idx="0">
                  <c:v>110</c:v>
                </c:pt>
                <c:pt idx="1">
                  <c:v>125</c:v>
                </c:pt>
                <c:pt idx="2">
                  <c:v>130</c:v>
                </c:pt>
                <c:pt idx="3">
                  <c:v>128</c:v>
                </c:pt>
                <c:pt idx="4">
                  <c:v>140</c:v>
                </c:pt>
                <c:pt idx="5">
                  <c:v>145</c:v>
                </c:pt>
                <c:pt idx="6">
                  <c:v>150</c:v>
                </c:pt>
                <c:pt idx="7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68-4C8A-9BA5-230214B2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465690079"/>
        <c:axId val="465690495"/>
      </c:barChart>
      <c:catAx>
        <c:axId val="465690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/>
                  <a:t>Місяць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465690495"/>
        <c:crosses val="autoZero"/>
        <c:auto val="1"/>
        <c:lblAlgn val="ctr"/>
        <c:lblOffset val="100"/>
        <c:noMultiLvlLbl val="0"/>
      </c:catAx>
      <c:valAx>
        <c:axId val="46569049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/>
                  <a:t>тис. грн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465690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uk-U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uk-UA"/>
              <a:t>Разом за травень-грудень, тис. грн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Разом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'Завдання 10'!$A$2:$A$6</c:f>
              <c:strCache>
                <c:ptCount val="5"/>
                <c:pt idx="0">
                  <c:v>Магазин 1</c:v>
                </c:pt>
                <c:pt idx="1">
                  <c:v>Магазин 2</c:v>
                </c:pt>
                <c:pt idx="2">
                  <c:v>Магазин 3</c:v>
                </c:pt>
                <c:pt idx="3">
                  <c:v>Магазин 4</c:v>
                </c:pt>
                <c:pt idx="4">
                  <c:v>Магазин 5</c:v>
                </c:pt>
              </c:strCache>
            </c:strRef>
          </c:cat>
          <c:val>
            <c:numRef>
              <c:f>'Завдання 10'!$J$2:$J$6</c:f>
              <c:numCache>
                <c:formatCode>General</c:formatCode>
                <c:ptCount val="5"/>
                <c:pt idx="0">
                  <c:v>1170</c:v>
                </c:pt>
                <c:pt idx="1">
                  <c:v>870</c:v>
                </c:pt>
                <c:pt idx="2">
                  <c:v>1363</c:v>
                </c:pt>
                <c:pt idx="3">
                  <c:v>773</c:v>
                </c:pt>
                <c:pt idx="4">
                  <c:v>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AC-456C-80F4-3219C934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2039336719"/>
        <c:axId val="2039340047"/>
      </c:barChart>
      <c:catAx>
        <c:axId val="20393367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/>
                  <a:t>Магазин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039340047"/>
        <c:crosses val="autoZero"/>
        <c:auto val="1"/>
        <c:lblAlgn val="ctr"/>
        <c:lblOffset val="100"/>
        <c:noMultiLvlLbl val="0"/>
      </c:catAx>
      <c:valAx>
        <c:axId val="20393400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uk-UA"/>
                  <a:t>тис. грн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uk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203933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123825</xdr:rowOff>
    </xdr:from>
    <xdr:to>
      <xdr:col>11</xdr:col>
      <xdr:colOff>450850</xdr:colOff>
      <xdr:row>19</xdr:row>
      <xdr:rowOff>60325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BF4F456B-C656-4F9E-A1D9-325379F47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9</xdr:col>
      <xdr:colOff>285750</xdr:colOff>
      <xdr:row>25</xdr:row>
      <xdr:rowOff>127000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0BA5E31E-EFFD-4DA0-8DDF-68BDF93943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5</xdr:row>
      <xdr:rowOff>57150</xdr:rowOff>
    </xdr:from>
    <xdr:to>
      <xdr:col>11</xdr:col>
      <xdr:colOff>374650</xdr:colOff>
      <xdr:row>23</xdr:row>
      <xdr:rowOff>184150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672F9AAB-BC4D-468B-9E82-236C9151ED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6</xdr:row>
      <xdr:rowOff>180975</xdr:rowOff>
    </xdr:from>
    <xdr:to>
      <xdr:col>16</xdr:col>
      <xdr:colOff>69850</xdr:colOff>
      <xdr:row>24</xdr:row>
      <xdr:rowOff>53975</xdr:rowOff>
    </xdr:to>
    <xdr:graphicFrame macro="">
      <xdr:nvGraphicFramePr>
        <xdr:cNvPr id="2" name="Діаграма 1">
          <a:extLst>
            <a:ext uri="{FF2B5EF4-FFF2-40B4-BE49-F238E27FC236}">
              <a16:creationId xmlns:a16="http://schemas.microsoft.com/office/drawing/2014/main" id="{172B216D-0CE7-4699-8051-535C6DC0C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7</xdr:row>
      <xdr:rowOff>47625</xdr:rowOff>
    </xdr:from>
    <xdr:to>
      <xdr:col>6</xdr:col>
      <xdr:colOff>400050</xdr:colOff>
      <xdr:row>23</xdr:row>
      <xdr:rowOff>47625</xdr:rowOff>
    </xdr:to>
    <xdr:graphicFrame macro="">
      <xdr:nvGraphicFramePr>
        <xdr:cNvPr id="3" name="Діаграма 2">
          <a:extLst>
            <a:ext uri="{FF2B5EF4-FFF2-40B4-BE49-F238E27FC236}">
              <a16:creationId xmlns:a16="http://schemas.microsoft.com/office/drawing/2014/main" id="{C0BBC049-B72E-490C-A5BD-A129E286A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/>
  <dimension ref="A1:E21"/>
  <sheetViews>
    <sheetView tabSelected="1" workbookViewId="0">
      <pane ySplit="1" topLeftCell="A2" activePane="bottomLeft" state="frozen"/>
      <selection pane="bottomLeft" activeCell="H7" sqref="H7"/>
    </sheetView>
  </sheetViews>
  <sheetFormatPr defaultRowHeight="15" customHeight="1" x14ac:dyDescent="0.25"/>
  <cols>
    <col min="1" max="1" width="6" customWidth="1"/>
    <col min="2" max="2" width="18" customWidth="1"/>
    <col min="3" max="3" width="14" customWidth="1"/>
    <col min="4" max="5" width="20" customWidth="1"/>
  </cols>
  <sheetData>
    <row r="1" spans="1:5" ht="1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5" ht="15" customHeight="1" x14ac:dyDescent="0.25">
      <c r="A2" s="3">
        <f>SUBTOTAL(103, $B$2:B2)</f>
        <v>1</v>
      </c>
      <c r="B2" s="5" t="s">
        <v>43</v>
      </c>
      <c r="C2" s="5" t="s">
        <v>44</v>
      </c>
      <c r="D2" s="5" t="s">
        <v>22</v>
      </c>
      <c r="E2" s="7">
        <v>36437</v>
      </c>
    </row>
    <row r="3" spans="1:5" x14ac:dyDescent="0.25">
      <c r="A3" s="3">
        <f>SUBTOTAL(103, $B$2:B3)</f>
        <v>2</v>
      </c>
      <c r="B3" s="1" t="s">
        <v>14</v>
      </c>
      <c r="C3" s="1" t="s">
        <v>15</v>
      </c>
      <c r="D3" s="1" t="s">
        <v>10</v>
      </c>
      <c r="E3" s="2">
        <v>36363</v>
      </c>
    </row>
    <row r="4" spans="1:5" x14ac:dyDescent="0.25">
      <c r="A4" s="3">
        <f>SUBTOTAL(103, $B$2:B4)</f>
        <v>3</v>
      </c>
      <c r="B4" s="1" t="s">
        <v>5</v>
      </c>
      <c r="C4" s="1" t="s">
        <v>6</v>
      </c>
      <c r="D4" s="1" t="s">
        <v>47</v>
      </c>
      <c r="E4" s="2">
        <v>38328</v>
      </c>
    </row>
    <row r="5" spans="1:5" ht="15" customHeight="1" x14ac:dyDescent="0.25">
      <c r="A5" s="3">
        <f>SUBTOTAL(103, $B$2:B5)</f>
        <v>4</v>
      </c>
      <c r="B5" s="5" t="s">
        <v>33</v>
      </c>
      <c r="C5" s="5" t="s">
        <v>34</v>
      </c>
      <c r="D5" s="5" t="s">
        <v>7</v>
      </c>
      <c r="E5" s="7">
        <v>36818</v>
      </c>
    </row>
    <row r="6" spans="1:5" x14ac:dyDescent="0.25">
      <c r="A6" s="3">
        <f>SUBTOTAL(103, $B$2:B6)</f>
        <v>5</v>
      </c>
      <c r="B6" s="1" t="s">
        <v>40</v>
      </c>
      <c r="C6" s="1" t="s">
        <v>12</v>
      </c>
      <c r="D6" s="1" t="s">
        <v>7</v>
      </c>
      <c r="E6" s="2">
        <v>37089</v>
      </c>
    </row>
    <row r="7" spans="1:5" x14ac:dyDescent="0.25">
      <c r="A7" s="3">
        <f>SUBTOTAL(103, $B$2:B7)</f>
        <v>6</v>
      </c>
      <c r="B7" s="1" t="s">
        <v>8</v>
      </c>
      <c r="C7" s="1" t="s">
        <v>9</v>
      </c>
      <c r="D7" s="1" t="s">
        <v>10</v>
      </c>
      <c r="E7" s="2">
        <v>36965</v>
      </c>
    </row>
    <row r="8" spans="1:5" x14ac:dyDescent="0.25">
      <c r="A8" s="3">
        <f>SUBTOTAL(103, $B$2:B8)</f>
        <v>7</v>
      </c>
      <c r="B8" s="1" t="s">
        <v>21</v>
      </c>
      <c r="C8" s="1" t="s">
        <v>12</v>
      </c>
      <c r="D8" s="1" t="s">
        <v>22</v>
      </c>
      <c r="E8" s="2">
        <v>35929</v>
      </c>
    </row>
    <row r="9" spans="1:5" x14ac:dyDescent="0.25">
      <c r="A9" s="3">
        <f>SUBTOTAL(103, $B$2:B9)</f>
        <v>8</v>
      </c>
      <c r="B9" s="1" t="s">
        <v>41</v>
      </c>
      <c r="C9" s="1" t="s">
        <v>42</v>
      </c>
      <c r="D9" s="1" t="s">
        <v>17</v>
      </c>
      <c r="E9" s="2">
        <v>36667</v>
      </c>
    </row>
    <row r="10" spans="1:5" x14ac:dyDescent="0.25">
      <c r="A10" s="3">
        <f>SUBTOTAL(103, $B$2:B10)</f>
        <v>9</v>
      </c>
      <c r="B10" s="1" t="s">
        <v>30</v>
      </c>
      <c r="C10" s="1" t="s">
        <v>12</v>
      </c>
      <c r="D10" s="1" t="s">
        <v>13</v>
      </c>
      <c r="E10" s="2">
        <v>36505</v>
      </c>
    </row>
    <row r="11" spans="1:5" x14ac:dyDescent="0.25">
      <c r="A11" s="3">
        <f>SUBTOTAL(103, $B$2:B11)</f>
        <v>10</v>
      </c>
      <c r="B11" s="1" t="s">
        <v>39</v>
      </c>
      <c r="C11" s="1" t="s">
        <v>9</v>
      </c>
      <c r="D11" s="1" t="s">
        <v>29</v>
      </c>
      <c r="E11" s="2">
        <v>37323</v>
      </c>
    </row>
    <row r="12" spans="1:5" x14ac:dyDescent="0.25">
      <c r="A12" s="3">
        <f>SUBTOTAL(103, $B$2:B12)</f>
        <v>11</v>
      </c>
      <c r="B12" s="1" t="s">
        <v>16</v>
      </c>
      <c r="C12" s="1" t="s">
        <v>9</v>
      </c>
      <c r="D12" s="1" t="s">
        <v>17</v>
      </c>
      <c r="E12" s="2">
        <v>37265</v>
      </c>
    </row>
    <row r="13" spans="1:5" x14ac:dyDescent="0.25">
      <c r="A13" s="3">
        <f>SUBTOTAL(103, $B$2:B13)</f>
        <v>12</v>
      </c>
      <c r="B13" s="1" t="s">
        <v>45</v>
      </c>
      <c r="C13" s="1" t="s">
        <v>46</v>
      </c>
      <c r="D13" s="1" t="s">
        <v>29</v>
      </c>
      <c r="E13" s="2">
        <v>37648</v>
      </c>
    </row>
    <row r="14" spans="1:5" x14ac:dyDescent="0.25">
      <c r="A14" s="3">
        <f>SUBTOTAL(103, $B$2:B14)</f>
        <v>13</v>
      </c>
      <c r="B14" s="1" t="s">
        <v>23</v>
      </c>
      <c r="C14" s="1" t="s">
        <v>24</v>
      </c>
      <c r="D14" s="1" t="s">
        <v>17</v>
      </c>
      <c r="E14" s="2">
        <v>37927</v>
      </c>
    </row>
    <row r="15" spans="1:5" x14ac:dyDescent="0.25">
      <c r="A15" s="3">
        <f>SUBTOTAL(103, $B$2:B15)</f>
        <v>14</v>
      </c>
      <c r="B15" s="1" t="s">
        <v>35</v>
      </c>
      <c r="C15" s="1" t="s">
        <v>36</v>
      </c>
      <c r="D15" s="1" t="s">
        <v>17</v>
      </c>
      <c r="E15" s="2">
        <v>37677</v>
      </c>
    </row>
    <row r="16" spans="1:5" x14ac:dyDescent="0.25">
      <c r="A16" s="3">
        <f>SUBTOTAL(103, $B$2:B16)</f>
        <v>15</v>
      </c>
      <c r="B16" s="1" t="s">
        <v>28</v>
      </c>
      <c r="C16" s="1" t="s">
        <v>9</v>
      </c>
      <c r="D16" s="1" t="s">
        <v>29</v>
      </c>
      <c r="E16" s="2">
        <v>37498</v>
      </c>
    </row>
    <row r="17" spans="1:5" x14ac:dyDescent="0.25">
      <c r="A17" s="3">
        <f>SUBTOTAL(103, $B$2:B17)</f>
        <v>16</v>
      </c>
      <c r="B17" s="1" t="s">
        <v>31</v>
      </c>
      <c r="C17" s="1" t="s">
        <v>32</v>
      </c>
      <c r="D17" s="1" t="s">
        <v>10</v>
      </c>
      <c r="E17" s="2">
        <v>37048</v>
      </c>
    </row>
    <row r="18" spans="1:5" x14ac:dyDescent="0.25">
      <c r="A18" s="3">
        <f>SUBTOTAL(103, $B$2:B18)</f>
        <v>17</v>
      </c>
      <c r="B18" s="1" t="s">
        <v>25</v>
      </c>
      <c r="C18" s="1" t="s">
        <v>26</v>
      </c>
      <c r="D18" s="1" t="s">
        <v>27</v>
      </c>
      <c r="E18" s="2">
        <v>36634</v>
      </c>
    </row>
    <row r="19" spans="1:5" x14ac:dyDescent="0.25">
      <c r="A19" s="3">
        <f>SUBTOTAL(103, $B$2:B19)</f>
        <v>18</v>
      </c>
      <c r="B19" s="1" t="s">
        <v>37</v>
      </c>
      <c r="C19" s="1" t="s">
        <v>38</v>
      </c>
      <c r="D19" s="1" t="s">
        <v>22</v>
      </c>
      <c r="E19" s="2">
        <v>36039</v>
      </c>
    </row>
    <row r="20" spans="1:5" ht="15" customHeight="1" x14ac:dyDescent="0.25">
      <c r="A20" s="3">
        <f>SUBTOTAL(103, $B$2:B20)</f>
        <v>19</v>
      </c>
      <c r="B20" s="5" t="s">
        <v>18</v>
      </c>
      <c r="C20" s="5" t="s">
        <v>19</v>
      </c>
      <c r="D20" s="5" t="s">
        <v>20</v>
      </c>
      <c r="E20" s="7">
        <v>37192</v>
      </c>
    </row>
    <row r="21" spans="1:5" ht="15" customHeight="1" x14ac:dyDescent="0.25">
      <c r="A21" s="3">
        <f>SUBTOTAL(103, $B$2:B21)</f>
        <v>20</v>
      </c>
      <c r="B21" s="5" t="s">
        <v>11</v>
      </c>
      <c r="C21" s="5" t="s">
        <v>12</v>
      </c>
      <c r="D21" s="5" t="s">
        <v>13</v>
      </c>
      <c r="E21" s="7">
        <v>36802</v>
      </c>
    </row>
  </sheetData>
  <autoFilter ref="A1:E20" xr:uid="{00000000-0009-0000-0000-000000000000}"/>
  <sortState xmlns:xlrd2="http://schemas.microsoft.com/office/spreadsheetml/2017/richdata2" ref="B2:E21">
    <sortCondition ref="B2:B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FB6CF-0320-4220-B942-21B4E3972A6D}">
  <sheetPr codeName="Аркуш3"/>
  <dimension ref="A1:D25"/>
  <sheetViews>
    <sheetView workbookViewId="0">
      <selection activeCell="D24" sqref="D24"/>
    </sheetView>
  </sheetViews>
  <sheetFormatPr defaultRowHeight="15" customHeight="1" x14ac:dyDescent="0.25"/>
  <cols>
    <col min="1" max="1" width="23.140625" customWidth="1"/>
    <col min="2" max="2" width="16.7109375" customWidth="1"/>
    <col min="3" max="3" width="14.7109375" customWidth="1"/>
    <col min="4" max="4" width="18.7109375" customWidth="1"/>
  </cols>
  <sheetData>
    <row r="1" spans="1:4" ht="15" customHeight="1" x14ac:dyDescent="0.25">
      <c r="A1" s="10" t="s">
        <v>48</v>
      </c>
      <c r="B1" s="10" t="s">
        <v>49</v>
      </c>
      <c r="C1" s="10" t="s">
        <v>50</v>
      </c>
      <c r="D1" s="10" t="s">
        <v>51</v>
      </c>
    </row>
    <row r="2" spans="1:4" ht="15" customHeight="1" x14ac:dyDescent="0.25">
      <c r="A2" s="9">
        <v>1</v>
      </c>
      <c r="B2" s="9">
        <v>2</v>
      </c>
      <c r="C2" s="9">
        <v>3</v>
      </c>
      <c r="D2" s="9">
        <v>4</v>
      </c>
    </row>
    <row r="3" spans="1:4" ht="15" customHeight="1" x14ac:dyDescent="0.25">
      <c r="A3" s="9">
        <v>2</v>
      </c>
      <c r="B3" s="9">
        <v>-3</v>
      </c>
      <c r="C3" s="9">
        <v>8</v>
      </c>
      <c r="D3" s="9">
        <v>3</v>
      </c>
    </row>
    <row r="4" spans="1:4" ht="15" customHeight="1" x14ac:dyDescent="0.25">
      <c r="A4" s="6"/>
      <c r="B4" s="6"/>
      <c r="C4" s="6"/>
      <c r="D4" s="6"/>
    </row>
    <row r="5" spans="1:4" ht="15" customHeight="1" x14ac:dyDescent="0.25">
      <c r="A5" s="48" t="s">
        <v>52</v>
      </c>
      <c r="B5" s="48"/>
      <c r="C5" s="6"/>
      <c r="D5" s="6"/>
    </row>
    <row r="6" spans="1:4" ht="15" customHeight="1" x14ac:dyDescent="0.25">
      <c r="A6" s="11" t="s">
        <v>53</v>
      </c>
      <c r="B6" s="12">
        <f>B2*C3-B3*C2</f>
        <v>25</v>
      </c>
      <c r="C6" s="6"/>
      <c r="D6" s="6"/>
    </row>
    <row r="7" spans="1:4" ht="15" customHeight="1" x14ac:dyDescent="0.25">
      <c r="A7" s="11" t="s">
        <v>54</v>
      </c>
      <c r="B7" s="12">
        <f>D2*C3-D3*C2</f>
        <v>23</v>
      </c>
      <c r="C7" s="6"/>
      <c r="D7" s="6"/>
    </row>
    <row r="8" spans="1:4" ht="15" customHeight="1" x14ac:dyDescent="0.25">
      <c r="A8" s="11" t="s">
        <v>55</v>
      </c>
      <c r="B8" s="12">
        <f>B2*D3-B3*D2</f>
        <v>18</v>
      </c>
      <c r="C8" s="6"/>
      <c r="D8" s="6"/>
    </row>
    <row r="9" spans="1:4" ht="15" customHeight="1" x14ac:dyDescent="0.25">
      <c r="A9" s="11" t="s">
        <v>49</v>
      </c>
      <c r="B9" s="13">
        <f>B7/B6</f>
        <v>0.92</v>
      </c>
      <c r="C9" s="6"/>
      <c r="D9" s="6"/>
    </row>
    <row r="10" spans="1:4" ht="15" customHeight="1" x14ac:dyDescent="0.25">
      <c r="A10" s="11" t="s">
        <v>50</v>
      </c>
      <c r="B10" s="13">
        <f>B8/B6</f>
        <v>0.72</v>
      </c>
      <c r="C10" s="6"/>
      <c r="D10" s="6"/>
    </row>
    <row r="11" spans="1:4" ht="15" customHeight="1" x14ac:dyDescent="0.25">
      <c r="A11" s="6"/>
      <c r="B11" s="6"/>
      <c r="C11" s="6"/>
      <c r="D11" s="6"/>
    </row>
    <row r="12" spans="1:4" ht="15" customHeight="1" x14ac:dyDescent="0.25">
      <c r="A12" s="47" t="s">
        <v>56</v>
      </c>
      <c r="B12" s="47"/>
      <c r="C12" s="6"/>
      <c r="D12" s="6"/>
    </row>
    <row r="13" spans="1:4" ht="15" customHeight="1" x14ac:dyDescent="0.25">
      <c r="A13" s="14" t="s">
        <v>57</v>
      </c>
      <c r="B13" s="15">
        <f>B3/B2</f>
        <v>-1.5</v>
      </c>
      <c r="C13" s="6"/>
      <c r="D13" s="6"/>
    </row>
    <row r="14" spans="1:4" ht="15" customHeight="1" x14ac:dyDescent="0.25">
      <c r="A14" s="14" t="s">
        <v>58</v>
      </c>
      <c r="B14" s="15">
        <f>C3-B13*C2</f>
        <v>12.5</v>
      </c>
      <c r="C14" s="6"/>
      <c r="D14" s="6"/>
    </row>
    <row r="15" spans="1:4" ht="15" customHeight="1" x14ac:dyDescent="0.25">
      <c r="A15" s="14" t="s">
        <v>59</v>
      </c>
      <c r="B15" s="15">
        <f>D3-B13*D2</f>
        <v>9</v>
      </c>
      <c r="C15" s="6"/>
      <c r="D15" s="6"/>
    </row>
    <row r="16" spans="1:4" ht="15" customHeight="1" x14ac:dyDescent="0.25">
      <c r="A16" s="14" t="s">
        <v>50</v>
      </c>
      <c r="B16" s="15">
        <f>B15/B14</f>
        <v>0.72</v>
      </c>
      <c r="C16" s="6"/>
      <c r="D16" s="6"/>
    </row>
    <row r="17" spans="1:4" ht="15" customHeight="1" x14ac:dyDescent="0.25">
      <c r="A17" s="14" t="s">
        <v>49</v>
      </c>
      <c r="B17" s="15">
        <f>(D2-C2*B16)/B2</f>
        <v>0.91999999999999993</v>
      </c>
      <c r="C17" s="6"/>
      <c r="D17" s="6"/>
    </row>
    <row r="18" spans="1:4" ht="15" customHeight="1" x14ac:dyDescent="0.25">
      <c r="A18" s="6"/>
      <c r="B18" s="6"/>
      <c r="C18" s="6"/>
      <c r="D18" s="6"/>
    </row>
    <row r="19" spans="1:4" ht="15" customHeight="1" x14ac:dyDescent="0.25">
      <c r="A19" s="46" t="s">
        <v>60</v>
      </c>
      <c r="B19" s="46"/>
      <c r="C19" s="6"/>
      <c r="D19" s="6"/>
    </row>
    <row r="20" spans="1:4" ht="15" customHeight="1" x14ac:dyDescent="0.25">
      <c r="A20" s="16" t="s">
        <v>61</v>
      </c>
      <c r="B20" s="17">
        <f>B9-B17</f>
        <v>0</v>
      </c>
      <c r="C20" s="6"/>
      <c r="D20" s="6"/>
    </row>
    <row r="21" spans="1:4" ht="15" customHeight="1" x14ac:dyDescent="0.25">
      <c r="A21" s="16" t="s">
        <v>62</v>
      </c>
      <c r="B21" s="17">
        <f>B10-B16</f>
        <v>0</v>
      </c>
      <c r="C21" s="6"/>
      <c r="D21" s="6"/>
    </row>
    <row r="22" spans="1:4" ht="15" customHeight="1" x14ac:dyDescent="0.25">
      <c r="A22" s="16" t="s">
        <v>63</v>
      </c>
      <c r="B22" s="17">
        <f>B2*B9+C2*B10</f>
        <v>4</v>
      </c>
      <c r="C22" s="6"/>
      <c r="D22" s="6"/>
    </row>
    <row r="23" spans="1:4" ht="15" customHeight="1" x14ac:dyDescent="0.25">
      <c r="A23" s="16" t="s">
        <v>64</v>
      </c>
      <c r="B23" s="17">
        <f>B3*B9+C3*B10</f>
        <v>2.9999999999999996</v>
      </c>
      <c r="C23" s="6"/>
      <c r="D23" s="6"/>
    </row>
    <row r="24" spans="1:4" ht="15" customHeight="1" x14ac:dyDescent="0.25">
      <c r="A24" s="6"/>
      <c r="B24" s="6"/>
      <c r="C24" s="6"/>
      <c r="D24" s="6"/>
    </row>
    <row r="25" spans="1:4" ht="15" customHeight="1" x14ac:dyDescent="0.25">
      <c r="A25" s="45" t="str">
        <f>IF(AND(ABS(B20)&lt;0.0000001,ABS(B21)&lt;0.0000001),"Розв'язки збігаються: x = 0,92; y = 0,72","Розв'язки не збігаються")</f>
        <v>Розв'язки збігаються: x = 0,92; y = 0,72</v>
      </c>
      <c r="B25" s="45"/>
      <c r="C25" s="6"/>
      <c r="D25" s="6"/>
    </row>
  </sheetData>
  <mergeCells count="4">
    <mergeCell ref="A25:B25"/>
    <mergeCell ref="A19:B19"/>
    <mergeCell ref="A12:B12"/>
    <mergeCell ref="A5:B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437D-4443-4FFF-8BA5-07D70268FFA3}">
  <sheetPr codeName="Аркуш2"/>
  <dimension ref="A1:C7"/>
  <sheetViews>
    <sheetView workbookViewId="0">
      <selection activeCell="D15" sqref="D15"/>
    </sheetView>
  </sheetViews>
  <sheetFormatPr defaultRowHeight="15" x14ac:dyDescent="0.25"/>
  <cols>
    <col min="1" max="1" width="12.7109375" customWidth="1"/>
    <col min="2" max="3" width="14.7109375" customWidth="1"/>
  </cols>
  <sheetData>
    <row r="1" spans="1:3" x14ac:dyDescent="0.25">
      <c r="A1" s="20" t="s">
        <v>49</v>
      </c>
      <c r="B1" s="20" t="s">
        <v>65</v>
      </c>
      <c r="C1" s="20" t="s">
        <v>66</v>
      </c>
    </row>
    <row r="2" spans="1:3" x14ac:dyDescent="0.25">
      <c r="A2" s="18">
        <v>0</v>
      </c>
      <c r="B2" s="18">
        <f>SinKvadrat(A2)</f>
        <v>0</v>
      </c>
      <c r="C2" s="18">
        <f>SIN(A2)^2</f>
        <v>0</v>
      </c>
    </row>
    <row r="3" spans="1:3" x14ac:dyDescent="0.25">
      <c r="A3" s="18">
        <v>0.5</v>
      </c>
      <c r="B3" s="18">
        <f t="shared" ref="B3:B7" si="0">SinKvadrat(A3)</f>
        <v>0.22984884706593015</v>
      </c>
      <c r="C3" s="18">
        <f t="shared" ref="C3:C7" si="1">SIN(A3)^2</f>
        <v>0.22984884706593015</v>
      </c>
    </row>
    <row r="4" spans="1:3" x14ac:dyDescent="0.25">
      <c r="A4" s="18">
        <v>1</v>
      </c>
      <c r="B4" s="18">
        <f t="shared" si="0"/>
        <v>0.70807341827357118</v>
      </c>
      <c r="C4" s="18">
        <f t="shared" si="1"/>
        <v>0.70807341827357118</v>
      </c>
    </row>
    <row r="5" spans="1:3" x14ac:dyDescent="0.25">
      <c r="A5" s="18">
        <f>PI()/2</f>
        <v>1.5707963267948966</v>
      </c>
      <c r="B5" s="18">
        <f t="shared" si="0"/>
        <v>1</v>
      </c>
      <c r="C5" s="18">
        <f t="shared" si="1"/>
        <v>1</v>
      </c>
    </row>
    <row r="6" spans="1:3" x14ac:dyDescent="0.25">
      <c r="A6" s="18">
        <f>PI()</f>
        <v>3.1415926535897931</v>
      </c>
      <c r="B6" s="18">
        <f t="shared" si="0"/>
        <v>1.4997597826618576E-32</v>
      </c>
      <c r="C6" s="18">
        <f t="shared" si="1"/>
        <v>1.5009887365649789E-32</v>
      </c>
    </row>
    <row r="7" spans="1:3" x14ac:dyDescent="0.25">
      <c r="A7" s="18">
        <v>2</v>
      </c>
      <c r="B7" s="18">
        <f t="shared" si="0"/>
        <v>0.82682181043180603</v>
      </c>
      <c r="C7" s="18">
        <f t="shared" si="1"/>
        <v>0.82682181043180603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57BA-2C4A-4C7F-9B4C-7AD9BC0ECB44}">
  <sheetPr codeName="Аркуш4"/>
  <dimension ref="A1:E6"/>
  <sheetViews>
    <sheetView workbookViewId="0">
      <selection activeCell="D10" sqref="D10"/>
    </sheetView>
  </sheetViews>
  <sheetFormatPr defaultRowHeight="15" x14ac:dyDescent="0.25"/>
  <cols>
    <col min="1" max="1" width="14.7109375" customWidth="1"/>
    <col min="2" max="2" width="12.7109375" customWidth="1"/>
    <col min="4" max="5" width="14.7109375" customWidth="1"/>
  </cols>
  <sheetData>
    <row r="1" spans="1:5" x14ac:dyDescent="0.25">
      <c r="A1" s="20" t="s">
        <v>67</v>
      </c>
      <c r="B1" s="20" t="s">
        <v>68</v>
      </c>
      <c r="D1" s="23" t="s">
        <v>74</v>
      </c>
      <c r="E1" s="23" t="s">
        <v>75</v>
      </c>
    </row>
    <row r="2" spans="1:5" x14ac:dyDescent="0.25">
      <c r="A2" s="4" t="s">
        <v>69</v>
      </c>
      <c r="B2" s="22">
        <v>1000</v>
      </c>
      <c r="D2" s="22">
        <v>500</v>
      </c>
      <c r="E2" s="22">
        <f>Komisiyni(D2,$B$2,$B$3,$B$4,$B$5,$B$6)</f>
        <v>5</v>
      </c>
    </row>
    <row r="3" spans="1:5" x14ac:dyDescent="0.25">
      <c r="A3" s="4" t="s">
        <v>70</v>
      </c>
      <c r="B3" s="22">
        <v>2000</v>
      </c>
      <c r="D3" s="22">
        <v>1000</v>
      </c>
      <c r="E3" s="22">
        <f t="shared" ref="E3:E6" si="0">Komisiyni(D3,$B$2,$B$3,$B$4,$B$5,$B$6)</f>
        <v>15</v>
      </c>
    </row>
    <row r="4" spans="1:5" x14ac:dyDescent="0.25">
      <c r="A4" s="4" t="s">
        <v>71</v>
      </c>
      <c r="B4" s="22">
        <v>1</v>
      </c>
      <c r="D4" s="22">
        <v>1500</v>
      </c>
      <c r="E4" s="22">
        <f t="shared" si="0"/>
        <v>22.5</v>
      </c>
    </row>
    <row r="5" spans="1:5" x14ac:dyDescent="0.25">
      <c r="A5" s="4" t="s">
        <v>72</v>
      </c>
      <c r="B5" s="22">
        <v>1.5</v>
      </c>
      <c r="D5" s="22">
        <v>2000</v>
      </c>
      <c r="E5" s="22">
        <f t="shared" si="0"/>
        <v>46</v>
      </c>
    </row>
    <row r="6" spans="1:5" x14ac:dyDescent="0.25">
      <c r="A6" s="4" t="s">
        <v>73</v>
      </c>
      <c r="B6" s="22">
        <v>2.2999999999999998</v>
      </c>
      <c r="D6" s="22">
        <v>3500</v>
      </c>
      <c r="E6" s="22">
        <f t="shared" si="0"/>
        <v>80.5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AEC88-62CA-4D10-B276-012BEB3D2A95}">
  <dimension ref="A1:B10"/>
  <sheetViews>
    <sheetView workbookViewId="0">
      <selection activeCell="S19" sqref="S19"/>
    </sheetView>
  </sheetViews>
  <sheetFormatPr defaultRowHeight="15" x14ac:dyDescent="0.25"/>
  <cols>
    <col min="1" max="1" width="10.7109375" customWidth="1"/>
    <col min="2" max="2" width="12.7109375" customWidth="1"/>
  </cols>
  <sheetData>
    <row r="1" spans="1:2" x14ac:dyDescent="0.25">
      <c r="A1" s="20" t="s">
        <v>49</v>
      </c>
      <c r="B1" s="27" t="s">
        <v>50</v>
      </c>
    </row>
    <row r="2" spans="1:2" x14ac:dyDescent="0.25">
      <c r="A2" s="24">
        <v>-2</v>
      </c>
      <c r="B2" s="26">
        <f t="shared" ref="B2:B10" si="0">SIN(A2)*EXP(-2*A2)</f>
        <v>-49.645957334580565</v>
      </c>
    </row>
    <row r="3" spans="1:2" x14ac:dyDescent="0.25">
      <c r="A3" s="24">
        <v>-1.5</v>
      </c>
      <c r="B3" s="26">
        <f t="shared" si="0"/>
        <v>-20.035222384130325</v>
      </c>
    </row>
    <row r="4" spans="1:2" x14ac:dyDescent="0.25">
      <c r="A4" s="24">
        <v>-1</v>
      </c>
      <c r="B4" s="26">
        <f t="shared" si="0"/>
        <v>-6.2176763123679679</v>
      </c>
    </row>
    <row r="5" spans="1:2" x14ac:dyDescent="0.25">
      <c r="A5" s="24">
        <v>-0.5</v>
      </c>
      <c r="B5" s="26">
        <f t="shared" si="0"/>
        <v>-1.3032137296869954</v>
      </c>
    </row>
    <row r="6" spans="1:2" x14ac:dyDescent="0.25">
      <c r="A6" s="24">
        <v>0</v>
      </c>
      <c r="B6" s="26">
        <f t="shared" si="0"/>
        <v>0</v>
      </c>
    </row>
    <row r="7" spans="1:2" x14ac:dyDescent="0.25">
      <c r="A7" s="24">
        <v>0.5</v>
      </c>
      <c r="B7" s="26">
        <f t="shared" si="0"/>
        <v>0.17637079922503196</v>
      </c>
    </row>
    <row r="8" spans="1:2" x14ac:dyDescent="0.25">
      <c r="A8" s="24">
        <v>1</v>
      </c>
      <c r="B8" s="26">
        <f t="shared" si="0"/>
        <v>0.1138807140643681</v>
      </c>
    </row>
    <row r="9" spans="1:2" x14ac:dyDescent="0.25">
      <c r="A9" s="24">
        <v>1.5</v>
      </c>
      <c r="B9" s="26">
        <f t="shared" si="0"/>
        <v>4.9662351094657588E-2</v>
      </c>
    </row>
    <row r="10" spans="1:2" x14ac:dyDescent="0.25">
      <c r="A10" s="24">
        <v>2</v>
      </c>
      <c r="B10" s="26">
        <f t="shared" si="0"/>
        <v>1.6654363312194376E-2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2EB77-AB90-4DF9-9139-28FF2335337A}">
  <dimension ref="A1:E6"/>
  <sheetViews>
    <sheetView workbookViewId="0">
      <selection activeCell="M26" sqref="M26"/>
    </sheetView>
  </sheetViews>
  <sheetFormatPr defaultRowHeight="15" x14ac:dyDescent="0.25"/>
  <cols>
    <col min="1" max="1" width="8.7109375" customWidth="1"/>
    <col min="2" max="2" width="14.7109375" customWidth="1"/>
    <col min="3" max="3" width="3.7109375" customWidth="1"/>
    <col min="4" max="4" width="8.7109375" customWidth="1"/>
    <col min="5" max="5" width="14.7109375" customWidth="1"/>
  </cols>
  <sheetData>
    <row r="1" spans="1:5" x14ac:dyDescent="0.25">
      <c r="A1" s="20" t="s">
        <v>49</v>
      </c>
      <c r="B1" s="20" t="s">
        <v>76</v>
      </c>
      <c r="D1" s="27" t="s">
        <v>49</v>
      </c>
      <c r="E1" s="27" t="s">
        <v>77</v>
      </c>
    </row>
    <row r="2" spans="1:5" x14ac:dyDescent="0.25">
      <c r="A2" s="24">
        <v>-2</v>
      </c>
      <c r="B2" s="21">
        <f>(1+A2^2)/(1+A2^4)</f>
        <v>0.29411764705882354</v>
      </c>
      <c r="D2" s="28">
        <v>0</v>
      </c>
      <c r="E2" s="26">
        <f>2*D2+SIN(D2)^2/(2+D2)</f>
        <v>0</v>
      </c>
    </row>
    <row r="3" spans="1:5" x14ac:dyDescent="0.25">
      <c r="A3" s="24">
        <v>-1.5</v>
      </c>
      <c r="B3" s="21">
        <f>(1+A3^2)/(1+A3^4)</f>
        <v>0.53608247422680411</v>
      </c>
      <c r="D3" s="28">
        <v>0.5</v>
      </c>
      <c r="E3" s="26">
        <f>2*D3+SIN(D3)^2/(2+D3)</f>
        <v>1.091939538826372</v>
      </c>
    </row>
    <row r="4" spans="1:5" x14ac:dyDescent="0.25">
      <c r="A4" s="24">
        <v>-1</v>
      </c>
      <c r="B4" s="21">
        <f>(1+A4^2)/(1+A4^4)</f>
        <v>1</v>
      </c>
      <c r="D4" s="28">
        <v>1</v>
      </c>
      <c r="E4" s="26">
        <f>2*D4+SIN(D4)^2/(2+D4)</f>
        <v>2.2360244727578569</v>
      </c>
    </row>
    <row r="5" spans="1:5" x14ac:dyDescent="0.25">
      <c r="A5" s="24">
        <v>-0.5</v>
      </c>
      <c r="B5" s="21">
        <f>(1+A5^2)/(1+A5^4)</f>
        <v>1.1764705882352942</v>
      </c>
      <c r="D5" s="28">
        <v>1.5</v>
      </c>
      <c r="E5" s="26">
        <f>2*D5+SIN(D5)^2/(2+D5)</f>
        <v>3.2842846423714924</v>
      </c>
    </row>
    <row r="6" spans="1:5" x14ac:dyDescent="0.25">
      <c r="A6" s="24">
        <v>0</v>
      </c>
      <c r="B6" s="21">
        <f>(1+A6^2)/(1+A6^4)</f>
        <v>1</v>
      </c>
      <c r="D6" s="28">
        <v>2</v>
      </c>
      <c r="E6" s="26">
        <f>2*D6+SIN(D6)^2/(2+D6)</f>
        <v>4.2067054526079515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00C2D-AF46-4351-8BF4-9E48033B812E}">
  <dimension ref="A1:E14"/>
  <sheetViews>
    <sheetView workbookViewId="0">
      <selection activeCell="Q27" sqref="Q27"/>
    </sheetView>
  </sheetViews>
  <sheetFormatPr defaultRowHeight="15" x14ac:dyDescent="0.25"/>
  <cols>
    <col min="1" max="1" width="8.7109375" customWidth="1"/>
    <col min="2" max="2" width="12.7109375" customWidth="1"/>
    <col min="4" max="4" width="12.7109375" customWidth="1"/>
    <col min="5" max="5" width="14.7109375" customWidth="1"/>
  </cols>
  <sheetData>
    <row r="1" spans="1:5" x14ac:dyDescent="0.25">
      <c r="A1" s="20" t="s">
        <v>49</v>
      </c>
      <c r="B1" s="20" t="s">
        <v>78</v>
      </c>
      <c r="D1" s="27" t="s">
        <v>79</v>
      </c>
      <c r="E1" s="27" t="s">
        <v>80</v>
      </c>
    </row>
    <row r="2" spans="1:5" x14ac:dyDescent="0.25">
      <c r="A2" s="24">
        <v>-3</v>
      </c>
      <c r="B2" s="21">
        <f t="shared" ref="B2:B14" si="0">A2^3+1.41*A2^2-5.4724*A2-7.380384</f>
        <v>-5.2731839999999996</v>
      </c>
      <c r="D2" s="29">
        <v>-2.41</v>
      </c>
      <c r="E2" s="26">
        <f>D2^3+1.41*D2^2-5.4724*D2-7.380384</f>
        <v>0</v>
      </c>
    </row>
    <row r="3" spans="1:5" x14ac:dyDescent="0.25">
      <c r="A3" s="24">
        <v>-2.5</v>
      </c>
      <c r="B3" s="21">
        <f t="shared" si="0"/>
        <v>-0.51188399999999934</v>
      </c>
      <c r="D3" s="29">
        <v>-1.32</v>
      </c>
      <c r="E3" s="26">
        <f t="shared" ref="E3:E4" si="1">D3^3+1.41*D3^2-5.4724*D3-7.380384</f>
        <v>0</v>
      </c>
    </row>
    <row r="4" spans="1:5" x14ac:dyDescent="0.25">
      <c r="A4" s="24">
        <v>-2</v>
      </c>
      <c r="B4" s="21">
        <f t="shared" si="0"/>
        <v>1.204416000000001</v>
      </c>
      <c r="D4" s="29">
        <v>2.3199999999999998</v>
      </c>
      <c r="E4" s="26">
        <f t="shared" si="1"/>
        <v>0</v>
      </c>
    </row>
    <row r="5" spans="1:5" x14ac:dyDescent="0.25">
      <c r="A5" s="24">
        <v>-1.5</v>
      </c>
      <c r="B5" s="21">
        <f t="shared" si="0"/>
        <v>0.62571599999999972</v>
      </c>
    </row>
    <row r="6" spans="1:5" x14ac:dyDescent="0.25">
      <c r="A6" s="24">
        <v>-1</v>
      </c>
      <c r="B6" s="21">
        <f t="shared" si="0"/>
        <v>-1.4979839999999998</v>
      </c>
    </row>
    <row r="7" spans="1:5" x14ac:dyDescent="0.25">
      <c r="A7" s="24">
        <v>-0.5</v>
      </c>
      <c r="B7" s="21">
        <f t="shared" si="0"/>
        <v>-4.4166840000000001</v>
      </c>
    </row>
    <row r="8" spans="1:5" x14ac:dyDescent="0.25">
      <c r="A8" s="24">
        <v>0</v>
      </c>
      <c r="B8" s="21">
        <f t="shared" si="0"/>
        <v>-7.3803840000000003</v>
      </c>
    </row>
    <row r="9" spans="1:5" x14ac:dyDescent="0.25">
      <c r="A9" s="24">
        <v>0.5</v>
      </c>
      <c r="B9" s="21">
        <f t="shared" si="0"/>
        <v>-9.6390840000000004</v>
      </c>
    </row>
    <row r="10" spans="1:5" x14ac:dyDescent="0.25">
      <c r="A10" s="24">
        <v>1</v>
      </c>
      <c r="B10" s="21">
        <f t="shared" si="0"/>
        <v>-10.442784</v>
      </c>
    </row>
    <row r="11" spans="1:5" x14ac:dyDescent="0.25">
      <c r="A11" s="24">
        <v>1.5</v>
      </c>
      <c r="B11" s="21">
        <f t="shared" si="0"/>
        <v>-9.0414840000000005</v>
      </c>
    </row>
    <row r="12" spans="1:5" x14ac:dyDescent="0.25">
      <c r="A12" s="24">
        <v>2</v>
      </c>
      <c r="B12" s="21">
        <f t="shared" si="0"/>
        <v>-4.6851840000000005</v>
      </c>
    </row>
    <row r="13" spans="1:5" x14ac:dyDescent="0.25">
      <c r="A13" s="24">
        <v>2.5</v>
      </c>
      <c r="B13" s="21">
        <f t="shared" si="0"/>
        <v>3.3761159999999988</v>
      </c>
    </row>
    <row r="14" spans="1:5" x14ac:dyDescent="0.25">
      <c r="A14" s="24">
        <v>3</v>
      </c>
      <c r="B14" s="21">
        <f t="shared" si="0"/>
        <v>15.892415999999997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5A924-479E-49EA-8B35-BC62289DA8CB}">
  <dimension ref="A1:B11"/>
  <sheetViews>
    <sheetView workbookViewId="0">
      <selection activeCell="I24" sqref="I24"/>
    </sheetView>
  </sheetViews>
  <sheetFormatPr defaultRowHeight="15" x14ac:dyDescent="0.25"/>
  <cols>
    <col min="1" max="1" width="28.7109375" customWidth="1"/>
    <col min="2" max="2" width="16.7109375" customWidth="1"/>
  </cols>
  <sheetData>
    <row r="1" spans="1:2" x14ac:dyDescent="0.25">
      <c r="A1" s="20" t="s">
        <v>81</v>
      </c>
      <c r="B1" s="30">
        <v>1000000</v>
      </c>
    </row>
    <row r="2" spans="1:2" x14ac:dyDescent="0.25">
      <c r="A2" s="20" t="s">
        <v>82</v>
      </c>
      <c r="B2" s="31">
        <v>15</v>
      </c>
    </row>
    <row r="3" spans="1:2" x14ac:dyDescent="0.25">
      <c r="A3" s="20" t="s">
        <v>83</v>
      </c>
      <c r="B3" s="30">
        <f>B1*B2/100</f>
        <v>150000</v>
      </c>
    </row>
    <row r="4" spans="1:2" x14ac:dyDescent="0.25">
      <c r="A4" s="20" t="s">
        <v>84</v>
      </c>
      <c r="B4" s="30">
        <f>B1-B3</f>
        <v>850000</v>
      </c>
    </row>
    <row r="5" spans="1:2" x14ac:dyDescent="0.25">
      <c r="A5" s="20" t="s">
        <v>85</v>
      </c>
      <c r="B5" s="31">
        <v>1</v>
      </c>
    </row>
    <row r="6" spans="1:2" x14ac:dyDescent="0.25">
      <c r="A6" s="20" t="s">
        <v>86</v>
      </c>
      <c r="B6" s="31">
        <v>20</v>
      </c>
    </row>
    <row r="7" spans="1:2" x14ac:dyDescent="0.25">
      <c r="A7" s="20" t="s">
        <v>87</v>
      </c>
      <c r="B7" s="31">
        <f>B6*12</f>
        <v>240</v>
      </c>
    </row>
    <row r="8" spans="1:2" x14ac:dyDescent="0.25">
      <c r="A8" s="20" t="s">
        <v>88</v>
      </c>
      <c r="B8" s="32">
        <f>B5/100/12</f>
        <v>8.3333333333333339E-4</v>
      </c>
    </row>
    <row r="9" spans="1:2" x14ac:dyDescent="0.25">
      <c r="A9" s="20" t="s">
        <v>89</v>
      </c>
      <c r="B9" s="30">
        <f>PMT(B8,B7,-B4)</f>
        <v>3909.1016091412712</v>
      </c>
    </row>
    <row r="10" spans="1:2" x14ac:dyDescent="0.25">
      <c r="A10" s="20" t="s">
        <v>90</v>
      </c>
      <c r="B10" s="30">
        <f>B9*B7</f>
        <v>938184.38619390503</v>
      </c>
    </row>
    <row r="11" spans="1:2" x14ac:dyDescent="0.25">
      <c r="A11" s="20" t="s">
        <v>91</v>
      </c>
      <c r="B11" s="30">
        <f>B10-B4</f>
        <v>88184.386193905026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B60C0-4249-42B3-99B2-839E4D685F1E}">
  <dimension ref="A1:G9"/>
  <sheetViews>
    <sheetView workbookViewId="0">
      <selection activeCell="F17" sqref="F17"/>
    </sheetView>
  </sheetViews>
  <sheetFormatPr defaultRowHeight="15" x14ac:dyDescent="0.25"/>
  <cols>
    <col min="1" max="1" width="36.7109375" customWidth="1"/>
    <col min="2" max="2" width="22.7109375" customWidth="1"/>
    <col min="4" max="4" width="8.7109375" customWidth="1"/>
    <col min="5" max="5" width="16.7109375" customWidth="1"/>
    <col min="6" max="6" width="14.7109375" customWidth="1"/>
    <col min="7" max="7" width="26.7109375" customWidth="1"/>
  </cols>
  <sheetData>
    <row r="1" spans="1:7" x14ac:dyDescent="0.25">
      <c r="A1" s="20" t="s">
        <v>92</v>
      </c>
      <c r="B1" s="30">
        <v>40000</v>
      </c>
      <c r="D1" s="27" t="s">
        <v>98</v>
      </c>
      <c r="E1" s="27" t="s">
        <v>99</v>
      </c>
      <c r="F1" s="27" t="s">
        <v>100</v>
      </c>
      <c r="G1" s="27" t="s">
        <v>101</v>
      </c>
    </row>
    <row r="2" spans="1:7" x14ac:dyDescent="0.25">
      <c r="A2" s="20" t="s">
        <v>93</v>
      </c>
      <c r="B2" s="30">
        <v>3000</v>
      </c>
      <c r="D2" s="25">
        <v>1</v>
      </c>
      <c r="E2" s="33">
        <f t="shared" ref="E2:E8" si="0">$B$2</f>
        <v>3000</v>
      </c>
      <c r="F2" s="26">
        <f t="shared" ref="F2:F8" si="1">1/(1+$B$4/100)^D2</f>
        <v>0.95238095238095233</v>
      </c>
      <c r="G2" s="33">
        <f t="shared" ref="G2:G8" si="2">E2*F2</f>
        <v>2857.1428571428569</v>
      </c>
    </row>
    <row r="3" spans="1:7" x14ac:dyDescent="0.25">
      <c r="A3" s="20" t="s">
        <v>86</v>
      </c>
      <c r="B3" s="31">
        <v>7</v>
      </c>
      <c r="D3" s="25">
        <v>2</v>
      </c>
      <c r="E3" s="33">
        <f t="shared" si="0"/>
        <v>3000</v>
      </c>
      <c r="F3" s="26">
        <f t="shared" si="1"/>
        <v>0.90702947845804982</v>
      </c>
      <c r="G3" s="33">
        <f t="shared" si="2"/>
        <v>2721.0884353741494</v>
      </c>
    </row>
    <row r="4" spans="1:7" x14ac:dyDescent="0.25">
      <c r="A4" s="20" t="s">
        <v>94</v>
      </c>
      <c r="B4" s="31">
        <v>5</v>
      </c>
      <c r="D4" s="25">
        <v>3</v>
      </c>
      <c r="E4" s="33">
        <f t="shared" si="0"/>
        <v>3000</v>
      </c>
      <c r="F4" s="26">
        <f t="shared" si="1"/>
        <v>0.86383759853147601</v>
      </c>
      <c r="G4" s="33">
        <f t="shared" si="2"/>
        <v>2591.5127955944281</v>
      </c>
    </row>
    <row r="5" spans="1:7" x14ac:dyDescent="0.25">
      <c r="A5" s="20" t="s">
        <v>95</v>
      </c>
      <c r="B5" s="30">
        <f>PV(B4/100,B3,-B2)</f>
        <v>17359.120192192713</v>
      </c>
      <c r="D5" s="25">
        <v>4</v>
      </c>
      <c r="E5" s="33">
        <f t="shared" si="0"/>
        <v>3000</v>
      </c>
      <c r="F5" s="26">
        <f t="shared" si="1"/>
        <v>0.82270247479188197</v>
      </c>
      <c r="G5" s="33">
        <f t="shared" si="2"/>
        <v>2468.1074243756457</v>
      </c>
    </row>
    <row r="6" spans="1:7" x14ac:dyDescent="0.25">
      <c r="A6" s="20" t="s">
        <v>96</v>
      </c>
      <c r="B6" s="30">
        <f>B5-B1</f>
        <v>-22640.879807807287</v>
      </c>
      <c r="D6" s="25">
        <v>5</v>
      </c>
      <c r="E6" s="33">
        <f t="shared" si="0"/>
        <v>3000</v>
      </c>
      <c r="F6" s="26">
        <f t="shared" si="1"/>
        <v>0.78352616646845896</v>
      </c>
      <c r="G6" s="33">
        <f t="shared" si="2"/>
        <v>2350.578499405377</v>
      </c>
    </row>
    <row r="7" spans="1:7" x14ac:dyDescent="0.25">
      <c r="A7" s="20" t="s">
        <v>97</v>
      </c>
      <c r="B7" s="19" t="str">
        <f>IF(B6&gt;0,"Угода вигідна","Угода невигідна")</f>
        <v>Угода невигідна</v>
      </c>
      <c r="D7" s="25">
        <v>6</v>
      </c>
      <c r="E7" s="33">
        <f t="shared" si="0"/>
        <v>3000</v>
      </c>
      <c r="F7" s="26">
        <f t="shared" si="1"/>
        <v>0.74621539663662761</v>
      </c>
      <c r="G7" s="33">
        <f t="shared" si="2"/>
        <v>2238.6461899098827</v>
      </c>
    </row>
    <row r="8" spans="1:7" x14ac:dyDescent="0.25">
      <c r="D8" s="25">
        <v>7</v>
      </c>
      <c r="E8" s="33">
        <f t="shared" si="0"/>
        <v>3000</v>
      </c>
      <c r="F8" s="26">
        <f t="shared" si="1"/>
        <v>0.71068133013012147</v>
      </c>
      <c r="G8" s="33">
        <f t="shared" si="2"/>
        <v>2132.0439903903643</v>
      </c>
    </row>
    <row r="9" spans="1:7" x14ac:dyDescent="0.25">
      <c r="D9" s="34" t="s">
        <v>102</v>
      </c>
      <c r="E9" s="34"/>
      <c r="F9" s="34"/>
      <c r="G9" s="35">
        <f>SUM(G2:G8)</f>
        <v>17359.120192192706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496E-B1F6-447E-A392-82023CCEFF60}">
  <dimension ref="A1:J6"/>
  <sheetViews>
    <sheetView workbookViewId="0">
      <selection activeCell="V22" sqref="V22"/>
    </sheetView>
  </sheetViews>
  <sheetFormatPr defaultRowHeight="15" x14ac:dyDescent="0.25"/>
  <cols>
    <col min="1" max="1" width="14.7109375" customWidth="1"/>
    <col min="2" max="10" width="12.7109375" customWidth="1"/>
  </cols>
  <sheetData>
    <row r="1" spans="1:10" x14ac:dyDescent="0.25">
      <c r="A1" s="23"/>
      <c r="B1" s="36" t="s">
        <v>103</v>
      </c>
      <c r="C1" s="36" t="s">
        <v>104</v>
      </c>
      <c r="D1" s="36" t="s">
        <v>105</v>
      </c>
      <c r="E1" s="36" t="s">
        <v>106</v>
      </c>
      <c r="F1" s="36" t="s">
        <v>107</v>
      </c>
      <c r="G1" s="36" t="s">
        <v>108</v>
      </c>
      <c r="H1" s="36" t="s">
        <v>109</v>
      </c>
      <c r="I1" s="36" t="s">
        <v>110</v>
      </c>
      <c r="J1" s="36" t="s">
        <v>111</v>
      </c>
    </row>
    <row r="2" spans="1:10" x14ac:dyDescent="0.25">
      <c r="A2" s="23" t="s">
        <v>112</v>
      </c>
      <c r="B2" s="34">
        <v>120</v>
      </c>
      <c r="C2" s="34">
        <v>135</v>
      </c>
      <c r="D2" s="34">
        <v>128</v>
      </c>
      <c r="E2" s="34">
        <v>142</v>
      </c>
      <c r="F2" s="34">
        <v>150</v>
      </c>
      <c r="G2" s="34">
        <v>160</v>
      </c>
      <c r="H2" s="34">
        <v>155</v>
      </c>
      <c r="I2" s="34">
        <v>180</v>
      </c>
      <c r="J2" s="34">
        <f>SUM(B2:I2)</f>
        <v>1170</v>
      </c>
    </row>
    <row r="3" spans="1:10" x14ac:dyDescent="0.25">
      <c r="A3" s="23" t="s">
        <v>113</v>
      </c>
      <c r="B3" s="34">
        <v>90</v>
      </c>
      <c r="C3" s="34">
        <v>95</v>
      </c>
      <c r="D3" s="34">
        <v>110</v>
      </c>
      <c r="E3" s="34">
        <v>100</v>
      </c>
      <c r="F3" s="34">
        <v>105</v>
      </c>
      <c r="G3" s="34">
        <v>115</v>
      </c>
      <c r="H3" s="34">
        <v>130</v>
      </c>
      <c r="I3" s="34">
        <v>125</v>
      </c>
      <c r="J3" s="34">
        <f>SUM(B3:I3)</f>
        <v>870</v>
      </c>
    </row>
    <row r="4" spans="1:10" x14ac:dyDescent="0.25">
      <c r="A4" s="23" t="s">
        <v>114</v>
      </c>
      <c r="B4" s="34">
        <v>150</v>
      </c>
      <c r="C4" s="34">
        <v>148</v>
      </c>
      <c r="D4" s="34">
        <v>160</v>
      </c>
      <c r="E4" s="34">
        <v>170</v>
      </c>
      <c r="F4" s="34">
        <v>165</v>
      </c>
      <c r="G4" s="34">
        <v>180</v>
      </c>
      <c r="H4" s="34">
        <v>190</v>
      </c>
      <c r="I4" s="34">
        <v>200</v>
      </c>
      <c r="J4" s="34">
        <f>SUM(B4:I4)</f>
        <v>1363</v>
      </c>
    </row>
    <row r="5" spans="1:10" x14ac:dyDescent="0.25">
      <c r="A5" s="23" t="s">
        <v>115</v>
      </c>
      <c r="B5" s="34">
        <v>80</v>
      </c>
      <c r="C5" s="34">
        <v>85</v>
      </c>
      <c r="D5" s="34">
        <v>88</v>
      </c>
      <c r="E5" s="34">
        <v>92</v>
      </c>
      <c r="F5" s="34">
        <v>100</v>
      </c>
      <c r="G5" s="34">
        <v>98</v>
      </c>
      <c r="H5" s="34">
        <v>110</v>
      </c>
      <c r="I5" s="34">
        <v>120</v>
      </c>
      <c r="J5" s="34">
        <f>SUM(B5:I5)</f>
        <v>773</v>
      </c>
    </row>
    <row r="6" spans="1:10" x14ac:dyDescent="0.25">
      <c r="A6" s="23" t="s">
        <v>116</v>
      </c>
      <c r="B6" s="34">
        <v>110</v>
      </c>
      <c r="C6" s="34">
        <v>125</v>
      </c>
      <c r="D6" s="34">
        <v>130</v>
      </c>
      <c r="E6" s="34">
        <v>128</v>
      </c>
      <c r="F6" s="34">
        <v>140</v>
      </c>
      <c r="G6" s="34">
        <v>145</v>
      </c>
      <c r="H6" s="34">
        <v>150</v>
      </c>
      <c r="I6" s="34">
        <v>160</v>
      </c>
      <c r="J6" s="34">
        <f>SUM(B6:I6)</f>
        <v>1088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642B-DCE0-4117-9540-73E252B06D85}">
  <dimension ref="A1:I14"/>
  <sheetViews>
    <sheetView workbookViewId="0">
      <selection activeCell="A13" sqref="A13"/>
    </sheetView>
  </sheetViews>
  <sheetFormatPr defaultRowHeight="15" x14ac:dyDescent="0.25"/>
  <cols>
    <col min="1" max="1" width="28.7109375" customWidth="1"/>
    <col min="2" max="9" width="12.7109375" customWidth="1"/>
  </cols>
  <sheetData>
    <row r="1" spans="1:9" x14ac:dyDescent="0.25">
      <c r="A1" s="20" t="s">
        <v>117</v>
      </c>
      <c r="B1" s="37">
        <v>23000</v>
      </c>
    </row>
    <row r="2" spans="1:9" x14ac:dyDescent="0.25">
      <c r="A2" s="20" t="s">
        <v>118</v>
      </c>
      <c r="B2" s="19">
        <v>1</v>
      </c>
    </row>
    <row r="3" spans="1:9" x14ac:dyDescent="0.25">
      <c r="A3" s="20" t="s">
        <v>119</v>
      </c>
      <c r="B3" s="19">
        <v>3</v>
      </c>
    </row>
    <row r="4" spans="1:9" x14ac:dyDescent="0.25">
      <c r="A4" s="20" t="s">
        <v>120</v>
      </c>
      <c r="B4" s="19">
        <v>1.5</v>
      </c>
    </row>
    <row r="6" spans="1:9" x14ac:dyDescent="0.25">
      <c r="A6" s="23" t="s">
        <v>121</v>
      </c>
      <c r="B6" s="36" t="s">
        <v>103</v>
      </c>
      <c r="C6" s="36" t="s">
        <v>104</v>
      </c>
      <c r="D6" s="36" t="s">
        <v>105</v>
      </c>
      <c r="E6" s="36" t="s">
        <v>111</v>
      </c>
      <c r="F6" s="36" t="s">
        <v>75</v>
      </c>
      <c r="G6" s="36" t="s">
        <v>122</v>
      </c>
      <c r="H6" s="36" t="s">
        <v>123</v>
      </c>
      <c r="I6" s="36" t="s">
        <v>124</v>
      </c>
    </row>
    <row r="7" spans="1:9" x14ac:dyDescent="0.25">
      <c r="A7" s="23" t="s">
        <v>112</v>
      </c>
      <c r="B7" s="38">
        <v>28000</v>
      </c>
      <c r="C7" s="38">
        <v>31000</v>
      </c>
      <c r="D7" s="38">
        <v>26000</v>
      </c>
      <c r="E7" s="38">
        <f t="shared" ref="E7:E13" si="0">SUM(B7:D7)</f>
        <v>85000</v>
      </c>
      <c r="F7" s="35">
        <f t="shared" ref="F7:F13" si="1">IF(B7&gt;=$B$1,B7*$B$2/100,0)+IF(C7&gt;=$B$1,C7*$B$2/100,0)+IF(D7&gt;=$B$1,D7*$B$2/100,0)</f>
        <v>850</v>
      </c>
      <c r="G7" s="34">
        <f t="shared" ref="G7:G13" si="2">RANK(E7,$E$7:$E$13,0)</f>
        <v>3</v>
      </c>
      <c r="H7" s="35">
        <f t="shared" ref="H7:H13" si="3">IF(G7=1,E7*$B$3/100,IF(G7=2,E7*$B$4/100,0))</f>
        <v>0</v>
      </c>
      <c r="I7" s="35">
        <f t="shared" ref="I7:I13" si="4">F7+H7</f>
        <v>850</v>
      </c>
    </row>
    <row r="8" spans="1:9" x14ac:dyDescent="0.25">
      <c r="A8" s="23" t="s">
        <v>113</v>
      </c>
      <c r="B8" s="38">
        <v>22000</v>
      </c>
      <c r="C8" s="38">
        <v>24000</v>
      </c>
      <c r="D8" s="38">
        <v>21000</v>
      </c>
      <c r="E8" s="38">
        <f t="shared" si="0"/>
        <v>67000</v>
      </c>
      <c r="F8" s="35">
        <f t="shared" si="1"/>
        <v>240</v>
      </c>
      <c r="G8" s="34">
        <f t="shared" si="2"/>
        <v>5</v>
      </c>
      <c r="H8" s="35">
        <f t="shared" si="3"/>
        <v>0</v>
      </c>
      <c r="I8" s="35">
        <f t="shared" si="4"/>
        <v>240</v>
      </c>
    </row>
    <row r="9" spans="1:9" x14ac:dyDescent="0.25">
      <c r="A9" s="23" t="s">
        <v>114</v>
      </c>
      <c r="B9" s="38">
        <v>35000</v>
      </c>
      <c r="C9" s="38">
        <v>33000</v>
      </c>
      <c r="D9" s="38">
        <v>40000</v>
      </c>
      <c r="E9" s="38">
        <f t="shared" si="0"/>
        <v>108000</v>
      </c>
      <c r="F9" s="35">
        <f t="shared" si="1"/>
        <v>1080</v>
      </c>
      <c r="G9" s="34">
        <f t="shared" si="2"/>
        <v>1</v>
      </c>
      <c r="H9" s="35">
        <f t="shared" si="3"/>
        <v>3240</v>
      </c>
      <c r="I9" s="35">
        <f t="shared" si="4"/>
        <v>4320</v>
      </c>
    </row>
    <row r="10" spans="1:9" x14ac:dyDescent="0.25">
      <c r="A10" s="23" t="s">
        <v>115</v>
      </c>
      <c r="B10" s="38">
        <v>18000</v>
      </c>
      <c r="C10" s="38">
        <v>19000</v>
      </c>
      <c r="D10" s="38">
        <v>25000</v>
      </c>
      <c r="E10" s="38">
        <f t="shared" si="0"/>
        <v>62000</v>
      </c>
      <c r="F10" s="35">
        <f t="shared" si="1"/>
        <v>250</v>
      </c>
      <c r="G10" s="34">
        <f t="shared" si="2"/>
        <v>6</v>
      </c>
      <c r="H10" s="35">
        <f t="shared" si="3"/>
        <v>0</v>
      </c>
      <c r="I10" s="35">
        <f t="shared" si="4"/>
        <v>250</v>
      </c>
    </row>
    <row r="11" spans="1:9" x14ac:dyDescent="0.25">
      <c r="A11" s="23" t="s">
        <v>116</v>
      </c>
      <c r="B11" s="38">
        <v>27000</v>
      </c>
      <c r="C11" s="38">
        <v>29000</v>
      </c>
      <c r="D11" s="38">
        <v>30000</v>
      </c>
      <c r="E11" s="38">
        <f t="shared" si="0"/>
        <v>86000</v>
      </c>
      <c r="F11" s="35">
        <f t="shared" si="1"/>
        <v>860</v>
      </c>
      <c r="G11" s="34">
        <f t="shared" si="2"/>
        <v>2</v>
      </c>
      <c r="H11" s="35">
        <f t="shared" si="3"/>
        <v>1290</v>
      </c>
      <c r="I11" s="35">
        <f t="shared" si="4"/>
        <v>2150</v>
      </c>
    </row>
    <row r="12" spans="1:9" x14ac:dyDescent="0.25">
      <c r="A12" s="23" t="s">
        <v>125</v>
      </c>
      <c r="B12" s="38">
        <v>15000</v>
      </c>
      <c r="C12" s="38">
        <v>22000</v>
      </c>
      <c r="D12" s="38">
        <v>16000</v>
      </c>
      <c r="E12" s="38">
        <f t="shared" si="0"/>
        <v>53000</v>
      </c>
      <c r="F12" s="35">
        <f t="shared" si="1"/>
        <v>0</v>
      </c>
      <c r="G12" s="34">
        <f t="shared" si="2"/>
        <v>7</v>
      </c>
      <c r="H12" s="35">
        <f t="shared" si="3"/>
        <v>0</v>
      </c>
      <c r="I12" s="35">
        <f t="shared" si="4"/>
        <v>0</v>
      </c>
    </row>
    <row r="13" spans="1:9" x14ac:dyDescent="0.25">
      <c r="A13" s="23" t="s">
        <v>126</v>
      </c>
      <c r="B13" s="38">
        <v>24000</v>
      </c>
      <c r="C13" s="38">
        <v>21000</v>
      </c>
      <c r="D13" s="38">
        <v>23000</v>
      </c>
      <c r="E13" s="38">
        <f t="shared" si="0"/>
        <v>68000</v>
      </c>
      <c r="F13" s="35">
        <f t="shared" si="1"/>
        <v>470</v>
      </c>
      <c r="G13" s="34">
        <f t="shared" si="2"/>
        <v>4</v>
      </c>
      <c r="H13" s="35">
        <f t="shared" si="3"/>
        <v>0</v>
      </c>
      <c r="I13" s="35">
        <f t="shared" si="4"/>
        <v>470</v>
      </c>
    </row>
    <row r="14" spans="1:9" x14ac:dyDescent="0.25">
      <c r="A14" s="23" t="s">
        <v>111</v>
      </c>
      <c r="B14" s="38"/>
      <c r="C14" s="38"/>
      <c r="D14" s="38"/>
      <c r="E14" s="38">
        <f>SUM(E7:E13)</f>
        <v>529000</v>
      </c>
      <c r="F14" s="35">
        <f>SUM(F7:F13)</f>
        <v>3750</v>
      </c>
      <c r="G14" s="34"/>
      <c r="H14" s="35">
        <f>SUM(H7:H13)</f>
        <v>4530</v>
      </c>
      <c r="I14" s="35">
        <f>SUM(I7:I13)</f>
        <v>8280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EC76-8D09-4662-826A-3CB1B386F991}">
  <dimension ref="A1:G19"/>
  <sheetViews>
    <sheetView workbookViewId="0">
      <selection activeCell="E26" sqref="E26"/>
    </sheetView>
  </sheetViews>
  <sheetFormatPr defaultRowHeight="15" x14ac:dyDescent="0.25"/>
  <cols>
    <col min="1" max="1" width="22.7109375" customWidth="1"/>
    <col min="2" max="7" width="14.7109375" customWidth="1"/>
  </cols>
  <sheetData>
    <row r="1" spans="1:7" x14ac:dyDescent="0.25">
      <c r="A1" s="39" t="s">
        <v>127</v>
      </c>
      <c r="B1" s="40">
        <v>1</v>
      </c>
    </row>
    <row r="3" spans="1:7" x14ac:dyDescent="0.25">
      <c r="A3" s="20"/>
      <c r="B3" s="41" t="s">
        <v>128</v>
      </c>
      <c r="C3" s="41" t="s">
        <v>129</v>
      </c>
      <c r="D3" s="41" t="s">
        <v>130</v>
      </c>
      <c r="E3" s="41" t="s">
        <v>131</v>
      </c>
      <c r="F3" s="41" t="s">
        <v>132</v>
      </c>
    </row>
    <row r="4" spans="1:7" x14ac:dyDescent="0.25">
      <c r="A4" s="20" t="s">
        <v>133</v>
      </c>
      <c r="B4" s="19">
        <v>1</v>
      </c>
      <c r="C4" s="19">
        <v>3</v>
      </c>
      <c r="D4" s="19">
        <v>4</v>
      </c>
      <c r="E4" s="19">
        <v>5</v>
      </c>
      <c r="F4" s="20">
        <f>2*$B$1</f>
        <v>2</v>
      </c>
    </row>
    <row r="5" spans="1:7" x14ac:dyDescent="0.25">
      <c r="A5" s="20" t="s">
        <v>134</v>
      </c>
      <c r="B5" s="19">
        <v>5</v>
      </c>
      <c r="C5" s="19">
        <v>2</v>
      </c>
      <c r="D5" s="19">
        <v>10</v>
      </c>
      <c r="E5" s="19">
        <v>3</v>
      </c>
      <c r="F5" s="20">
        <f>3*$B$1</f>
        <v>3</v>
      </c>
    </row>
    <row r="6" spans="1:7" x14ac:dyDescent="0.25">
      <c r="A6" s="20" t="s">
        <v>135</v>
      </c>
      <c r="B6" s="19">
        <v>3</v>
      </c>
      <c r="C6" s="19">
        <v>2</v>
      </c>
      <c r="D6" s="19">
        <v>1</v>
      </c>
      <c r="E6" s="19">
        <v>4</v>
      </c>
      <c r="F6" s="20">
        <f>5*$B$1</f>
        <v>5</v>
      </c>
    </row>
    <row r="7" spans="1:7" x14ac:dyDescent="0.25">
      <c r="A7" s="20" t="s">
        <v>136</v>
      </c>
      <c r="B7" s="19">
        <v>6</v>
      </c>
      <c r="C7" s="19">
        <v>4</v>
      </c>
      <c r="D7" s="19">
        <v>2</v>
      </c>
      <c r="E7" s="19">
        <v>6</v>
      </c>
      <c r="F7" s="20">
        <f>2*$B$1</f>
        <v>2</v>
      </c>
    </row>
    <row r="8" spans="1:7" x14ac:dyDescent="0.25">
      <c r="A8" s="20" t="s">
        <v>137</v>
      </c>
      <c r="B8" s="19">
        <f>3*$B$1</f>
        <v>3</v>
      </c>
      <c r="C8" s="19">
        <f>2*$B$1</f>
        <v>2</v>
      </c>
      <c r="D8" s="19">
        <f>6*$B$1</f>
        <v>6</v>
      </c>
      <c r="E8" s="19">
        <f>1*$B$1</f>
        <v>1</v>
      </c>
      <c r="F8" s="19"/>
    </row>
    <row r="11" spans="1:7" x14ac:dyDescent="0.25">
      <c r="A11" s="42" t="s">
        <v>138</v>
      </c>
      <c r="B11" s="42" t="s">
        <v>128</v>
      </c>
      <c r="C11" s="42" t="s">
        <v>129</v>
      </c>
      <c r="D11" s="42" t="s">
        <v>130</v>
      </c>
      <c r="E11" s="42" t="s">
        <v>131</v>
      </c>
      <c r="F11" s="42" t="s">
        <v>111</v>
      </c>
      <c r="G11" s="42" t="s">
        <v>132</v>
      </c>
    </row>
    <row r="12" spans="1:7" x14ac:dyDescent="0.25">
      <c r="A12" s="27" t="s">
        <v>133</v>
      </c>
      <c r="B12" s="25">
        <v>2</v>
      </c>
      <c r="C12" s="25">
        <v>0</v>
      </c>
      <c r="D12" s="25">
        <v>0</v>
      </c>
      <c r="E12" s="25">
        <v>0</v>
      </c>
      <c r="F12" s="27">
        <f>SUM(B12:E12)</f>
        <v>2</v>
      </c>
      <c r="G12" s="25">
        <f>F4</f>
        <v>2</v>
      </c>
    </row>
    <row r="13" spans="1:7" x14ac:dyDescent="0.25">
      <c r="A13" s="27" t="s">
        <v>134</v>
      </c>
      <c r="B13" s="25">
        <v>0</v>
      </c>
      <c r="C13" s="25">
        <v>2</v>
      </c>
      <c r="D13" s="25">
        <v>0</v>
      </c>
      <c r="E13" s="25">
        <v>1</v>
      </c>
      <c r="F13" s="27">
        <f>SUM(B13:E13)</f>
        <v>3</v>
      </c>
      <c r="G13" s="25">
        <f>F5</f>
        <v>3</v>
      </c>
    </row>
    <row r="14" spans="1:7" x14ac:dyDescent="0.25">
      <c r="A14" s="27" t="s">
        <v>135</v>
      </c>
      <c r="B14" s="25">
        <v>0</v>
      </c>
      <c r="C14" s="25">
        <v>0</v>
      </c>
      <c r="D14" s="25">
        <v>5</v>
      </c>
      <c r="E14" s="25">
        <v>0</v>
      </c>
      <c r="F14" s="27">
        <f>SUM(B14:E14)</f>
        <v>5</v>
      </c>
      <c r="G14" s="25">
        <f>F6</f>
        <v>5</v>
      </c>
    </row>
    <row r="15" spans="1:7" x14ac:dyDescent="0.25">
      <c r="A15" s="27" t="s">
        <v>136</v>
      </c>
      <c r="B15" s="25">
        <v>1</v>
      </c>
      <c r="C15" s="25">
        <v>0</v>
      </c>
      <c r="D15" s="25">
        <v>1</v>
      </c>
      <c r="E15" s="25">
        <v>0</v>
      </c>
      <c r="F15" s="27">
        <f>SUM(B15:E15)</f>
        <v>2</v>
      </c>
      <c r="G15" s="25">
        <f>F7</f>
        <v>2</v>
      </c>
    </row>
    <row r="16" spans="1:7" x14ac:dyDescent="0.25">
      <c r="A16" s="27" t="s">
        <v>111</v>
      </c>
      <c r="B16" s="27">
        <f>SUM(B12:B15)</f>
        <v>3</v>
      </c>
      <c r="C16" s="27">
        <f>SUM(C12:C15)</f>
        <v>2</v>
      </c>
      <c r="D16" s="27">
        <f>SUM(D12:D15)</f>
        <v>6</v>
      </c>
      <c r="E16" s="27">
        <f>SUM(E12:E15)</f>
        <v>1</v>
      </c>
    </row>
    <row r="17" spans="1:5" x14ac:dyDescent="0.25">
      <c r="A17" s="43" t="s">
        <v>137</v>
      </c>
      <c r="B17" s="25">
        <f>B8</f>
        <v>3</v>
      </c>
      <c r="C17" s="25">
        <f>C8</f>
        <v>2</v>
      </c>
      <c r="D17" s="25">
        <f>D8</f>
        <v>6</v>
      </c>
      <c r="E17" s="25">
        <f>E8</f>
        <v>1</v>
      </c>
    </row>
    <row r="19" spans="1:5" x14ac:dyDescent="0.25">
      <c r="A19" s="34" t="s">
        <v>139</v>
      </c>
      <c r="B19" s="44">
        <f>SUMPRODUCT(B4:E7,B12:E15)</f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12</vt:i4>
      </vt:variant>
    </vt:vector>
  </HeadingPairs>
  <TitlesOfParts>
    <vt:vector size="12" baseType="lpstr">
      <vt:lpstr>Завдання 1</vt:lpstr>
      <vt:lpstr>Завдання 2</vt:lpstr>
      <vt:lpstr>Завдання 3</vt:lpstr>
      <vt:lpstr>Завдання 4</vt:lpstr>
      <vt:lpstr>Завдання 5</vt:lpstr>
      <vt:lpstr>Завдання 6</vt:lpstr>
      <vt:lpstr>Завдання 7</vt:lpstr>
      <vt:lpstr>Завдання 8</vt:lpstr>
      <vt:lpstr>Завдання 9</vt:lpstr>
      <vt:lpstr>Завдання 10</vt:lpstr>
      <vt:lpstr>Завдання 11</vt:lpstr>
      <vt:lpstr>Завдання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Vadym Herasymenko</dc:creator>
  <cp:lastModifiedBy>Vadym Herasymenko</cp:lastModifiedBy>
  <dcterms:created xsi:type="dcterms:W3CDTF">2015-06-05T18:19:34Z</dcterms:created>
  <dcterms:modified xsi:type="dcterms:W3CDTF">2026-10-07T19:03:05Z</dcterms:modified>
</cp:coreProperties>
</file>